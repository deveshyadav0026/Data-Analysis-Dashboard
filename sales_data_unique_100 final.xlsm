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PC\Documents\"/>
    </mc:Choice>
  </mc:AlternateContent>
  <xr:revisionPtr revIDLastSave="0" documentId="13_ncr:1_{9CA4F91E-C005-44F4-8709-29E973F8557A}" xr6:coauthVersionLast="47" xr6:coauthVersionMax="47" xr10:uidLastSave="{00000000-0000-0000-0000-000000000000}"/>
  <bookViews>
    <workbookView xWindow="-110" yWindow="-110" windowWidth="19420" windowHeight="10420" xr2:uid="{00000000-000D-0000-FFFF-FFFF00000000}"/>
  </bookViews>
  <sheets>
    <sheet name="Dashboard" sheetId="2" r:id="rId1"/>
    <sheet name="Ro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<sst xmlns="http://schemas.openxmlformats.org/spreadsheetml/2006/main" count="348" uniqueCount="230">
  <si>
    <t>Emp Code</t>
  </si>
  <si>
    <t>Sales Executive</t>
  </si>
  <si>
    <t>Region</t>
  </si>
  <si>
    <t>Day1</t>
  </si>
  <si>
    <t>Day2</t>
  </si>
  <si>
    <t>Day3</t>
  </si>
  <si>
    <t>Day4</t>
  </si>
  <si>
    <t>Day5</t>
  </si>
  <si>
    <t>Total Sales</t>
  </si>
  <si>
    <t>Target</t>
  </si>
  <si>
    <t>Target Hit %</t>
  </si>
  <si>
    <t>Away from Target %</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</si>
  <si>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</si>
  <si>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</si>
  <si>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</si>
  <si>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</si>
  <si>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</si>
  <si>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</si>
  <si>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</si>
  <si>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</si>
  <si>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</si>
  <si>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</si>
  <si>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</si>
  <si>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</si>
  <si>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</si>
  <si>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</si>
  <si>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</si>
  <si>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</si>
  <si>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</si>
  <si>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</si>
  <si>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</si>
  <si>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</si>
  <si>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</si>
  <si>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</si>
  <si>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</si>
  <si>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</si>
  <si>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</si>
  <si>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</si>
  <si>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</si>
  <si>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</si>
  <si>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</si>
  <si>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</si>
  <si>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</si>
  <si>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</si>
  <si>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</si>
  <si>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</si>
  <si>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</si>
  <si>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</si>
  <si>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</si>
  <si>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</si>
  <si>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</si>
  <si>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</si>
  <si>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</si>
  <si>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</si>
  <si>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</si>
  <si>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</si>
  <si>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</si>
  <si>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</si>
  <si>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</si>
  <si>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</si>
  <si>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</si>
  <si>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</si>
  <si>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</si>
  <si>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</si>
  <si>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</si>
  <si>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</si>
  <si>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</si>
  <si>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</si>
  <si>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</si>
  <si>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</si>
  <si>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</si>
  <si>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</si>
  <si>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</si>
  <si>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</si>
  <si>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</si>
  <si>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</si>
  <si>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</si>
  <si>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</si>
  <si>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</si>
  <si>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</si>
  <si>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</si>
  <si>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</si>
  <si>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</si>
  <si>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</si>
  <si>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</si>
  <si>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</si>
  <si>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</si>
  <si>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</si>
  <si>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</si>
  <si>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</si>
  <si>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</si>
  <si>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</si>
  <si>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</si>
  <si>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</si>
  <si>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</si>
  <si>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</si>
  <si>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</si>
  <si>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</si>
  <si>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</si>
  <si>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</si>
  <si>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</si>
  <si>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</si>
  <si>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</si>
  <si>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</si>
  <si>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</si>
  <si>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</si>
  <si>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</si>
  <si>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</si>
  <si>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</si>
  <si>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</si>
  <si>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</si>
  <si>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</si>
  <si>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Executive_001</t>
  </si>
  <si>
    <t>Executive_002</t>
  </si>
  <si>
    <t>Executive_003</t>
  </si>
  <si>
    <t>Executive_004</t>
  </si>
  <si>
    <t>Executive_005</t>
  </si>
  <si>
    <t>Executive_006</t>
  </si>
  <si>
    <t>Executive_007</t>
  </si>
  <si>
    <t>Executive_008</t>
  </si>
  <si>
    <t>Executive_009</t>
  </si>
  <si>
    <t>Executive_010</t>
  </si>
  <si>
    <t>Executive_011</t>
  </si>
  <si>
    <t>Executive_012</t>
  </si>
  <si>
    <t>Executive_013</t>
  </si>
  <si>
    <t>Executive_014</t>
  </si>
  <si>
    <t>Executive_015</t>
  </si>
  <si>
    <t>Executive_016</t>
  </si>
  <si>
    <t>Executive_017</t>
  </si>
  <si>
    <t>Executive_018</t>
  </si>
  <si>
    <t>Executive_019</t>
  </si>
  <si>
    <t>Executive_020</t>
  </si>
  <si>
    <t>Executive_021</t>
  </si>
  <si>
    <t>Executive_022</t>
  </si>
  <si>
    <t>Executive_023</t>
  </si>
  <si>
    <t>Executive_024</t>
  </si>
  <si>
    <t>Executive_025</t>
  </si>
  <si>
    <t>Executive_026</t>
  </si>
  <si>
    <t>Executive_027</t>
  </si>
  <si>
    <t>Executive_028</t>
  </si>
  <si>
    <t>Executive_029</t>
  </si>
  <si>
    <t>Executive_030</t>
  </si>
  <si>
    <t>Executive_031</t>
  </si>
  <si>
    <t>Executive_032</t>
  </si>
  <si>
    <t>Executive_033</t>
  </si>
  <si>
    <t>Executive_034</t>
  </si>
  <si>
    <t>Executive_035</t>
  </si>
  <si>
    <t>Executive_036</t>
  </si>
  <si>
    <t>Executive_037</t>
  </si>
  <si>
    <t>Executive_038</t>
  </si>
  <si>
    <t>Executive_039</t>
  </si>
  <si>
    <t>Executive_040</t>
  </si>
  <si>
    <t>Executive_041</t>
  </si>
  <si>
    <t>Executive_042</t>
  </si>
  <si>
    <t>Executive_043</t>
  </si>
  <si>
    <t>Executive_044</t>
  </si>
  <si>
    <t>Executive_045</t>
  </si>
  <si>
    <t>Executive_046</t>
  </si>
  <si>
    <t>Executive_047</t>
  </si>
  <si>
    <t>Executive_048</t>
  </si>
  <si>
    <t>Executive_049</t>
  </si>
  <si>
    <t>Executive_050</t>
  </si>
  <si>
    <t>Executive_051</t>
  </si>
  <si>
    <t>Executive_052</t>
  </si>
  <si>
    <t>Executive_053</t>
  </si>
  <si>
    <t>Executive_054</t>
  </si>
  <si>
    <t>Executive_055</t>
  </si>
  <si>
    <t>Executive_056</t>
  </si>
  <si>
    <t>Executive_057</t>
  </si>
  <si>
    <t>Executive_058</t>
  </si>
  <si>
    <t>Executive_059</t>
  </si>
  <si>
    <t>Executive_060</t>
  </si>
  <si>
    <t>Executive_061</t>
  </si>
  <si>
    <t>Executive_062</t>
  </si>
  <si>
    <t>Executive_063</t>
  </si>
  <si>
    <t>Executive_064</t>
  </si>
  <si>
    <t>Executive_065</t>
  </si>
  <si>
    <t>Executive_066</t>
  </si>
  <si>
    <t>Executive_067</t>
  </si>
  <si>
    <t>Executive_068</t>
  </si>
  <si>
    <t>Executive_069</t>
  </si>
  <si>
    <t>Executive_070</t>
  </si>
  <si>
    <t>Executive_071</t>
  </si>
  <si>
    <t>Executive_072</t>
  </si>
  <si>
    <t>Executive_073</t>
  </si>
  <si>
    <t>Executive_074</t>
  </si>
  <si>
    <t>Executive_075</t>
  </si>
  <si>
    <t>Executive_076</t>
  </si>
  <si>
    <t>Executive_077</t>
  </si>
  <si>
    <t>Executive_078</t>
  </si>
  <si>
    <t>Executive_079</t>
  </si>
  <si>
    <t>Executive_080</t>
  </si>
  <si>
    <t>Executive_081</t>
  </si>
  <si>
    <t>Executive_082</t>
  </si>
  <si>
    <t>Executive_083</t>
  </si>
  <si>
    <t>Executive_084</t>
  </si>
  <si>
    <t>Executive_085</t>
  </si>
  <si>
    <t>Executive_086</t>
  </si>
  <si>
    <t>Executive_087</t>
  </si>
  <si>
    <t>Executive_088</t>
  </si>
  <si>
    <t>Executive_089</t>
  </si>
  <si>
    <t>Executive_090</t>
  </si>
  <si>
    <t>Executive_091</t>
  </si>
  <si>
    <t>Executive_092</t>
  </si>
  <si>
    <t>Executive_093</t>
  </si>
  <si>
    <t>Executive_094</t>
  </si>
  <si>
    <t>Executive_095</t>
  </si>
  <si>
    <t>Executive_096</t>
  </si>
  <si>
    <t>Executive_097</t>
  </si>
  <si>
    <t>Executive_098</t>
  </si>
  <si>
    <t>Executive_099</t>
  </si>
  <si>
    <t>Executive_100</t>
  </si>
  <si>
    <t>South</t>
  </si>
  <si>
    <t>East</t>
  </si>
  <si>
    <t>North</t>
  </si>
  <si>
    <t>West</t>
  </si>
  <si>
    <t xml:space="preserve">Total Sales </t>
  </si>
  <si>
    <t xml:space="preserve">Target Hit % </t>
  </si>
  <si>
    <t xml:space="preserve">Away from Target % </t>
  </si>
  <si>
    <t>Total sales per day</t>
  </si>
  <si>
    <t>Sales of Day1</t>
  </si>
  <si>
    <t>Sales of Day2</t>
  </si>
  <si>
    <t>Sales of Day3</t>
  </si>
  <si>
    <t>Sales of Day4</t>
  </si>
  <si>
    <t>Sales of Day5</t>
  </si>
  <si>
    <t>Top Performers</t>
  </si>
  <si>
    <t>Low Performers</t>
  </si>
  <si>
    <t>Total Sales by</t>
  </si>
  <si>
    <t>On-Target Performers</t>
  </si>
  <si>
    <t>Off-Target Performers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</si>
</sst>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color theme="1"/>
      <name val="Calibri"/>
      <family val="2"/>
      <scheme val="minor"/>
    </font>
    <font>
      <sz val="8"/>
      <color rgb="FF000000"/>
      <name val="Segoe UI"/>
      <family val="2"/>
    </font>
    <font>
      <sz val="11"/>
      <color theme="0"/>
      <name val="Calibri"/>
      <family val="2"/>
      <scheme val="minor"/>
    </font>
    <font>
      <b/>
      <sz val="14"/>
      <color theme="1"/>
      <name val="Calibri"/>
      <family val="2"/>
      <scheme val="minor"/>
    </font>
    <font>
      <sz val="10"/>
      <color theme="1"/>
      <name val="Calibri"/>
      <family val="2"/>
      <scheme val="minor"/>
    </font>
  </fonts>
  <fills count="12">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1"/>
        <bgColor indexed="64"/>
      </patternFill>
    </fill>
    <fill>
      <patternFill patternType="solid">
        <fgColor theme="0" tint="-0.249977111117893"/>
        <bgColor indexed="64"/>
      </patternFill>
    </fill>
    <fill>
      <patternFill patternType="solid">
        <fgColor theme="1" tint="0.49998474074526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1" fillId="0" borderId="1" xfId="0" applyFont="1" applyBorder="1" applyAlignment="1">
      <alignment horizontal="center" vertical="top"/>
    </xf>
    <xf numFmtId="0" fontId="0" fillId="0" borderId="0" xfId="0" pivotButton="1"/>
    <xf numFmtId="0" fontId="0" fillId="2" borderId="0" xfId="0" applyFill="1"/>
    <xf numFmtId="0" fontId="0" fillId="3" borderId="0" xfId="0" applyFill="1" applyAlignment="1">
      <alignment horizontal="left"/>
    </xf>
    <xf numFmtId="0" fontId="0" fillId="4" borderId="0" xfId="0" applyFill="1" applyAlignment="1">
      <alignment horizontal="left"/>
    </xf>
    <xf numFmtId="0" fontId="0" fillId="5" borderId="0" xfId="0" applyFill="1" applyAlignment="1">
      <alignment horizontal="left"/>
    </xf>
    <xf numFmtId="0" fontId="0" fillId="7" borderId="0" xfId="0" applyFill="1" applyAlignment="1">
      <alignment horizontal="left"/>
    </xf>
    <xf numFmtId="0" fontId="0" fillId="0" borderId="0" xfId="0" applyAlignment="1">
      <alignment horizontal="center"/>
    </xf>
    <xf numFmtId="0" fontId="0" fillId="9" borderId="0" xfId="0" applyFill="1"/>
    <xf numFmtId="0" fontId="0" fillId="9" borderId="0" xfId="0" applyFill="1" applyAlignment="1">
      <alignment horizontal="center"/>
    </xf>
    <xf numFmtId="0" fontId="3" fillId="9" borderId="0" xfId="0" applyFont="1" applyFill="1" applyAlignment="1">
      <alignment horizontal="right"/>
    </xf>
    <xf numFmtId="0" fontId="0" fillId="11" borderId="0" xfId="0" applyFill="1" applyAlignment="1">
      <alignment horizontal="left" vertical="center"/>
    </xf>
    <xf numFmtId="0" fontId="0" fillId="10" borderId="0" xfId="0" applyFill="1" applyAlignment="1">
      <alignment vertical="center"/>
    </xf>
    <xf numFmtId="0" fontId="4" fillId="2" borderId="0" xfId="0" applyFont="1" applyFill="1"/>
    <xf numFmtId="0" fontId="0" fillId="6" borderId="0" xfId="0" applyFill="1"/>
    <xf numFmtId="0" fontId="0" fillId="8" borderId="0" xfId="0" applyFill="1"/>
    <xf numFmtId="0" fontId="4" fillId="2" borderId="0" xfId="0" applyFont="1" applyFill="1" applyAlignment="1">
      <alignment horizontal="left" indent="6"/>
    </xf>
    <xf numFmtId="0" fontId="5" fillId="9" borderId="0" xfId="0" applyFont="1" applyFill="1" applyAlignment="1">
      <alignment horizontal="center"/>
    </xf>
  </cellXfs>
  <cellStyles count="1">
    <cellStyle name="Normal" xfId="0" builtinId="0"/>
  </cellStyles>
  <dxfs count="42">
    <dxf>
      <fill>
        <patternFill patternType="solid">
          <bgColor theme="2" tint="-0.249977111117893"/>
        </patternFill>
      </fill>
    </dxf>
    <dxf>
      <fill>
        <patternFill>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79998168889431442"/>
        </patternFill>
      </fill>
    </dxf>
    <dxf>
      <alignment horizontal="center"/>
    </dxf>
    <dxf>
      <fill>
        <patternFill patternType="solid">
          <bgColor theme="1"/>
        </patternFill>
      </fill>
    </dxf>
    <dxf>
      <fill>
        <patternFill patternType="solid">
          <bgColor theme="1"/>
        </patternFill>
      </fill>
    </dxf>
    <dxf>
      <font>
        <sz val="10"/>
      </font>
    </dxf>
    <dxf>
      <fill>
        <patternFill patternType="solid">
          <bgColor theme="1"/>
        </patternFill>
      </fill>
    </dxf>
    <dxf>
      <fill>
        <patternFill patternType="solid">
          <bgColor theme="1"/>
        </patternFill>
      </fill>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horizontal="center"/>
    </dxf>
    <dxf>
      <fill>
        <patternFill patternType="solid">
          <bgColor theme="2" tint="-0.249977111117893"/>
        </patternFill>
      </fill>
    </dxf>
    <dxf>
      <fill>
        <patternFill>
          <bgColor theme="2" tint="-0.249977111117893"/>
        </patternFill>
      </fill>
    </dxf>
    <dxf>
      <fill>
        <patternFill>
          <bgColor theme="2" tint="-9.9978637043366805E-2"/>
        </patternFill>
      </fill>
    </dxf>
    <dxf>
      <fill>
        <patternFill>
          <bgColor theme="2" tint="-0.249977111117893"/>
        </patternFill>
      </fill>
    </dxf>
    <dxf>
      <fill>
        <patternFill>
          <bgColor theme="2" tint="-0.249977111117893"/>
        </patternFill>
      </fill>
    </dxf>
    <dxf>
      <fill>
        <patternFill patternType="solid">
          <bgColor theme="4" tint="0.79998168889431442"/>
        </patternFill>
      </fill>
    </dxf>
    <dxf>
      <fill>
        <patternFill patternType="solid">
          <bgColor theme="4" tint="0.79998168889431442"/>
        </patternFill>
      </fill>
    </dxf>
    <dxf>
      <alignment horizontal="center"/>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alignment vertical="center"/>
    </dxf>
    <dxf>
      <alignment vertical="center"/>
    </dxf>
    <dxf>
      <alignment vertical="center"/>
    </dxf>
    <dxf>
      <fill>
        <patternFill>
          <bgColor theme="1" tint="0.499984740745262"/>
        </patternFill>
      </fill>
    </dxf>
    <dxf>
      <fill>
        <patternFill>
          <bgColor theme="0" tint="-0.249977111117893"/>
        </patternFill>
      </fill>
    </dxf>
    <dxf>
      <fill>
        <patternFill patternType="solid">
          <bgColor theme="8" tint="0.79998168889431442"/>
        </patternFill>
      </fill>
    </dxf>
    <dxf>
      <fill>
        <patternFill patternType="solid">
          <bgColor theme="8" tint="0.79998168889431442"/>
        </patternFill>
      </fill>
    </dxf>
    <dxf>
      <alignment horizontal="right"/>
    </dxf>
    <dxf>
      <font>
        <color theme="0"/>
      </font>
    </dxf>
    <dxf>
      <fill>
        <patternFill patternType="solid">
          <bgColor theme="1"/>
        </patternFill>
      </fill>
    </dxf>
    <dxf>
      <fill>
        <patternFill patternType="solid">
          <bgColor theme="1"/>
        </patternFill>
      </fill>
    </dxf>
    <dxf>
      <fill>
        <patternFill>
          <bgColor theme="1"/>
        </patternFill>
      </fill>
    </dxf>
  </dxfs>
  <tableStyles count="2" defaultTableStyle="TableStyleMedium9" defaultPivotStyle="PivotStyleLight16">
    <tableStyle name="Slicer Style 1" pivot="0" table="0" count="1" xr9:uid="{DC6AEB9C-90DA-40CA-A8B6-518093B87D18}"/>
    <tableStyle name="Slicer Style 2" pivot="0" table="0" count="5" xr9:uid="{3CEC5425-827A-4123-BA36-7C9CC8DD2819}">
      <tableStyleElement type="wholeTable" dxfId="41"/>
    </tableStyle>
  </tableStyles>
  <extLst>
    <ext xmlns:x14="http://schemas.microsoft.com/office/spreadsheetml/2009/9/main" uri="{46F421CA-312F-682f-3DD2-61675219B42D}">
      <x14:dxfs count="5">
        <dxf>
          <fill>
            <patternFill>
              <bgColor rgb="FFFFFF00"/>
            </patternFill>
          </fill>
        </dxf>
        <dxf>
          <fill>
            <patternFill>
              <bgColor theme="9" tint="0.59996337778862885"/>
            </patternFill>
          </fill>
        </dxf>
        <dxf>
          <fill>
            <patternFill>
              <bgColor theme="9" tint="-0.24994659260841701"/>
            </patternFill>
          </fill>
        </dxf>
        <dxf>
          <fill>
            <patternFill>
              <bgColor theme="0" tint="-0.24994659260841701"/>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No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[sales_data_unique_100 final.xlsm]Dashboard!PivotTable2</c:name>
    <c:fmtId val="0"/>
  </c:pivotSource>
  <c:chart>
    <c:autoTitleDeleted val="1"/>
    <c:pivotFmts>
      <c:pivotFmt>
        <c:idx val="0"/>
        <c:spPr>
          <a:solidFill>
            <a:schemeClr val="accent1">
              <a:lumMod val="20000"/>
              <a:lumOff val="80000"/>
            </a:schemeClr>
          </a:solidFill>
          <a:ln>
            <a:noFill/>
          </a:ln>
          <a:effectLst/>
        </c:spPr>
        <c:marker>
          <c:symbol val="none"/>
        </c:marker>
        <c:dLbl>
          <c:idx val="0"/>
          <c:spPr>
            <a:solidFill>
              <a:srgbClr val="FFC000"/>
            </a:solidFill>
            <a:ln>
              <a:solidFill>
                <a:schemeClr val="accent2"/>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35496962879640048"/>
          <c:y val="0.10707456978967496"/>
          <c:w val="0.6387322834645669"/>
          <c:h val="0.83173996175908227"/>
        </c:manualLayout>
      </c:layout>
      <c:barChart>
        <c:barDir val="bar"/>
        <c:grouping val="clustered"/>
        <c:varyColors val="0"/>
        <c:ser>
          <c:idx val="0"/>
          <c:order val="0"/>
          <c:tx>
            <c:strRef>
              <c:f>Dashboard!$B$3</c:f>
              <c:strCache>
                <c:ptCount val="1"/>
                <c:pt idx="0">
                  <c:v>Total</c:v>
                </c:pt>
              </c:strCache>
            </c:strRef>
          </c:tx>
          <c:spPr>
            <a:solidFill>
              <a:schemeClr val="accent1">
                <a:lumMod val="20000"/>
                <a:lumOff val="80000"/>
              </a:schemeClr>
            </a:solidFill>
            <a:ln>
              <a:noFill/>
            </a:ln>
            <a:effectLst/>
          </c:spPr>
          <c:invertIfNegative val="0"/>
          <c:dLbls>
            <c:spPr>
              <a:solidFill>
                <a:srgbClr val="FFC000"/>
              </a:solidFill>
              <a:ln>
                <a:solidFill>
                  <a:schemeClr val="accent2"/>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Executive_022</c:v>
                </c:pt>
                <c:pt idx="1">
                  <c:v>Executive_040</c:v>
                </c:pt>
                <c:pt idx="2">
                  <c:v>Executive_064</c:v>
                </c:pt>
                <c:pt idx="3">
                  <c:v>Executive_081</c:v>
                </c:pt>
                <c:pt idx="4">
                  <c:v>Executive_082</c:v>
                </c:pt>
              </c:strCache>
            </c:strRef>
          </c:cat>
          <c:val>
            <c:numRef>
              <c:f>Dashboard!$B$4:$B$8</c:f>
              <c:numCache>
                <c:formatCode>General</c:formatCode>
                <c:ptCount val="5"/>
                <c:pt idx="0">
                  <c:v>18002</c:v>
                </c:pt>
                <c:pt idx="1">
                  <c:v>17243</c:v>
                </c:pt>
                <c:pt idx="2">
                  <c:v>17998</c:v>
                </c:pt>
                <c:pt idx="3">
                  <c:v>16402</c:v>
                </c:pt>
                <c:pt idx="4">
                  <c:v>16454</c:v>
                </c:pt>
              </c:numCache>
            </c:numRef>
          </c:val>
          <c:extLst>
            <c:ext xmlns:c16="http://schemas.microsoft.com/office/drawing/2014/chart" uri="{C3380CC4-5D6E-409C-BE32-E72D297353CC}">
              <c16:uniqueId val="{00000000-F6E7-4E97-80AC-4F1D23A57015}"/>
            </c:ext>
          </c:extLst>
        </c:ser>
        <c:dLbls>
          <c:showLegendKey val="0"/>
          <c:showVal val="0"/>
          <c:showCatName val="0"/>
          <c:showSerName val="0"/>
          <c:showPercent val="0"/>
          <c:showBubbleSize val="0"/>
        </c:dLbls>
        <c:gapWidth val="182"/>
        <c:axId val="826750399"/>
        <c:axId val="826751359"/>
      </c:barChart>
      <c:catAx>
        <c:axId val="826750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26751359"/>
        <c:crosses val="autoZero"/>
        <c:auto val="1"/>
        <c:lblAlgn val="ctr"/>
        <c:lblOffset val="100"/>
        <c:noMultiLvlLbl val="0"/>
      </c:catAx>
      <c:valAx>
        <c:axId val="826751359"/>
        <c:scaling>
          <c:orientation val="minMax"/>
        </c:scaling>
        <c:delete val="1"/>
        <c:axPos val="b"/>
        <c:numFmt formatCode="General" sourceLinked="1"/>
        <c:majorTickMark val="none"/>
        <c:minorTickMark val="none"/>
        <c:tickLblPos val="nextTo"/>
        <c:crossAx val="826750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[sales_data_unique_100 final.xlsm]Dashboard!PivotTable4</c:name>
    <c:fmtId val="3"/>
  </c:pivotSource>
  <c:chart>
    <c:autoTitleDeleted val="1"/>
    <c:pivotFmts>
      <c:pivotFmt>
        <c:idx val="0"/>
        <c:spPr>
          <a:solidFill>
            <a:schemeClr val="accent2">
              <a:lumMod val="20000"/>
              <a:lumOff val="80000"/>
            </a:schemeClr>
          </a:solidFill>
          <a:ln>
            <a:noFill/>
          </a:ln>
          <a:effectLst/>
        </c:spPr>
        <c:marker>
          <c:symbol val="none"/>
        </c:marker>
        <c:dLbl>
          <c:idx val="0"/>
          <c:spPr>
            <a:solidFill>
              <a:srgbClr val="FFC000"/>
            </a:solidFill>
            <a:ln>
              <a:solidFill>
                <a:schemeClr val="accent2"/>
              </a:solid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s>
    <c:plotArea>
      <c:layout>
        <c:manualLayout>
          <c:layoutTarget val="inner"/>
          <c:xMode val="edge"/>
          <c:yMode val="edge"/>
          <c:x val="0.31330933633295838"/>
          <c:y val="7.5471698113207544E-2"/>
          <c:w val="0.68278627671541059"/>
          <c:h val="0.83703703703703702"/>
        </c:manualLayout>
      </c:layout>
      <c:barChart>
        <c:barDir val="bar"/>
        <c:grouping val="clustered"/>
        <c:varyColors val="0"/>
        <c:ser>
          <c:idx val="0"/>
          <c:order val="0"/>
          <c:tx>
            <c:strRef>
              <c:f>Dashboard!$H$3</c:f>
              <c:strCache>
                <c:ptCount val="1"/>
                <c:pt idx="0">
                  <c:v>Total</c:v>
                </c:pt>
              </c:strCache>
            </c:strRef>
          </c:tx>
          <c:spPr>
            <a:solidFill>
              <a:schemeClr val="accent2">
                <a:lumMod val="20000"/>
                <a:lumOff val="80000"/>
              </a:schemeClr>
            </a:solidFill>
            <a:ln>
              <a:noFill/>
            </a:ln>
            <a:effectLst/>
          </c:spPr>
          <c:invertIfNegative val="0"/>
          <c:dLbls>
            <c:spPr>
              <a:solidFill>
                <a:srgbClr val="FFC000"/>
              </a:solidFill>
              <a:ln>
                <a:solidFill>
                  <a:schemeClr val="accent2"/>
                </a:solid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Dashboard!$G$4:$G$8</c:f>
              <c:strCache>
                <c:ptCount val="5"/>
                <c:pt idx="0">
                  <c:v>Executive_021</c:v>
                </c:pt>
                <c:pt idx="1">
                  <c:v>Executive_040</c:v>
                </c:pt>
                <c:pt idx="2">
                  <c:v>Executive_049</c:v>
                </c:pt>
                <c:pt idx="3">
                  <c:v>Executive_064</c:v>
                </c:pt>
                <c:pt idx="4">
                  <c:v>Executive_065</c:v>
                </c:pt>
              </c:strCache>
            </c:strRef>
          </c:cat>
          <c:val>
            <c:numRef>
              <c:f>Dashboard!$H$4:$H$8</c:f>
              <c:numCache>
                <c:formatCode>General</c:formatCode>
                <c:ptCount val="5"/>
                <c:pt idx="0">
                  <c:v>100.43</c:v>
                </c:pt>
                <c:pt idx="1">
                  <c:v>98.97</c:v>
                </c:pt>
                <c:pt idx="2">
                  <c:v>100.06</c:v>
                </c:pt>
                <c:pt idx="3">
                  <c:v>107.69</c:v>
                </c:pt>
                <c:pt idx="4">
                  <c:v>101.97</c:v>
                </c:pt>
              </c:numCache>
            </c:numRef>
          </c:val>
          <c:extLst>
            <c:ext xmlns:c16="http://schemas.microsoft.com/office/drawing/2014/chart" uri="{C3380CC4-5D6E-409C-BE32-E72D297353CC}">
              <c16:uniqueId val="{00000000-93A7-4DEA-910E-B892AF808DEB}"/>
            </c:ext>
          </c:extLst>
        </c:ser>
        <c:dLbls>
          <c:showLegendKey val="0"/>
          <c:showVal val="0"/>
          <c:showCatName val="0"/>
          <c:showSerName val="0"/>
          <c:showPercent val="0"/>
          <c:showBubbleSize val="0"/>
        </c:dLbls>
        <c:gapWidth val="182"/>
        <c:axId val="907791247"/>
        <c:axId val="907789807"/>
      </c:barChart>
      <c:valAx>
        <c:axId val="907789807"/>
        <c:scaling>
          <c:orientation val="minMax"/>
        </c:scaling>
        <c:delete val="1"/>
        <c:axPos val="b"/>
        <c:numFmt formatCode="General" sourceLinked="1"/>
        <c:majorTickMark val="none"/>
        <c:minorTickMark val="none"/>
        <c:tickLblPos val="nextTo"/>
        <c:crossAx val="907791247"/>
        <c:crosses val="autoZero"/>
        <c:crossBetween val="between"/>
      </c:valAx>
      <c:catAx>
        <c:axId val="907791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07789807"/>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[sales_data_unique_100 final.xlsm]Dashboard!PivotTable5</c:name>
    <c:fmtId val="0"/>
  </c:pivotSource>
  <c:chart>
    <c:autoTitleDeleted val="1"/>
    <c:pivotFmts>
      <c:pivotFmt>
        <c:idx val="0"/>
        <c:spPr>
          <a:solidFill>
            <a:schemeClr val="accent4">
              <a:lumMod val="20000"/>
              <a:lumOff val="80000"/>
            </a:schemeClr>
          </a:solidFill>
          <a:ln>
            <a:noFill/>
          </a:ln>
          <a:effectLst/>
        </c:spPr>
        <c:marker>
          <c:symbol val="none"/>
        </c:marker>
        <c:dLbl>
          <c:idx val="0"/>
          <c:spPr>
            <a:solidFill>
              <a:srgbClr val="FFC000"/>
            </a:solidFill>
            <a:ln>
              <a:solidFill>
                <a:schemeClr val="accent2"/>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71101238580084"/>
          <c:y val="8.9719678987227311E-2"/>
          <c:w val="0.65337286187195864"/>
          <c:h val="0.83551392185674989"/>
        </c:manualLayout>
      </c:layout>
      <c:barChart>
        <c:barDir val="bar"/>
        <c:grouping val="clustered"/>
        <c:varyColors val="0"/>
        <c:ser>
          <c:idx val="0"/>
          <c:order val="0"/>
          <c:tx>
            <c:strRef>
              <c:f>Dashboard!$K$3</c:f>
              <c:strCache>
                <c:ptCount val="1"/>
                <c:pt idx="0">
                  <c:v>Total</c:v>
                </c:pt>
              </c:strCache>
            </c:strRef>
          </c:tx>
          <c:spPr>
            <a:solidFill>
              <a:schemeClr val="accent4">
                <a:lumMod val="20000"/>
                <a:lumOff val="80000"/>
              </a:schemeClr>
            </a:solidFill>
            <a:ln>
              <a:noFill/>
            </a:ln>
            <a:effectLst/>
          </c:spPr>
          <c:invertIfNegative val="0"/>
          <c:dLbls>
            <c:spPr>
              <a:solidFill>
                <a:srgbClr val="FFC000"/>
              </a:solidFill>
              <a:ln>
                <a:solidFill>
                  <a:schemeClr val="accent2"/>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Executive_008</c:v>
                </c:pt>
                <c:pt idx="1">
                  <c:v>Executive_019</c:v>
                </c:pt>
                <c:pt idx="2">
                  <c:v>Executive_020</c:v>
                </c:pt>
                <c:pt idx="3">
                  <c:v>Executive_052</c:v>
                </c:pt>
                <c:pt idx="4">
                  <c:v>Executive_056</c:v>
                </c:pt>
              </c:strCache>
            </c:strRef>
          </c:cat>
          <c:val>
            <c:numRef>
              <c:f>Dashboard!$K$4:$K$8</c:f>
              <c:numCache>
                <c:formatCode>General</c:formatCode>
                <c:ptCount val="5"/>
                <c:pt idx="0">
                  <c:v>34.32</c:v>
                </c:pt>
                <c:pt idx="1">
                  <c:v>30.12</c:v>
                </c:pt>
                <c:pt idx="2">
                  <c:v>42.54</c:v>
                </c:pt>
                <c:pt idx="3">
                  <c:v>28.17</c:v>
                </c:pt>
                <c:pt idx="4">
                  <c:v>30.95</c:v>
                </c:pt>
              </c:numCache>
            </c:numRef>
          </c:val>
          <c:extLst>
            <c:ext xmlns:c16="http://schemas.microsoft.com/office/drawing/2014/chart" uri="{C3380CC4-5D6E-409C-BE32-E72D297353CC}">
              <c16:uniqueId val="{00000000-5DD0-4D3E-9184-89689AFD061D}"/>
            </c:ext>
          </c:extLst>
        </c:ser>
        <c:dLbls>
          <c:showLegendKey val="0"/>
          <c:showVal val="0"/>
          <c:showCatName val="0"/>
          <c:showSerName val="0"/>
          <c:showPercent val="0"/>
          <c:showBubbleSize val="0"/>
        </c:dLbls>
        <c:gapWidth val="182"/>
        <c:axId val="1047443423"/>
        <c:axId val="1047443903"/>
      </c:barChart>
      <c:catAx>
        <c:axId val="1047443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7443903"/>
        <c:crosses val="autoZero"/>
        <c:auto val="1"/>
        <c:lblAlgn val="ctr"/>
        <c:lblOffset val="100"/>
        <c:noMultiLvlLbl val="0"/>
      </c:catAx>
      <c:valAx>
        <c:axId val="1047443903"/>
        <c:scaling>
          <c:orientation val="minMax"/>
        </c:scaling>
        <c:delete val="1"/>
        <c:axPos val="b"/>
        <c:numFmt formatCode="General" sourceLinked="1"/>
        <c:majorTickMark val="none"/>
        <c:minorTickMark val="none"/>
        <c:tickLblPos val="nextTo"/>
        <c:crossAx val="1047443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[sales_data_unique_100 final.xlsm]Dashboard!PivotTable3</c:name>
    <c:fmtId val="3"/>
  </c:pivotSource>
  <c:chart>
    <c:autoTitleDeleted val="1"/>
    <c:pivotFmts>
      <c:pivotFmt>
        <c:idx val="0"/>
        <c:spPr>
          <a:solidFill>
            <a:schemeClr val="bg2">
              <a:lumMod val="90000"/>
            </a:schemeClr>
          </a:solidFill>
          <a:ln>
            <a:noFill/>
          </a:ln>
          <a:effectLst/>
        </c:spPr>
        <c:marker>
          <c:symbol val="none"/>
        </c:marker>
        <c:dLbl>
          <c:idx val="0"/>
          <c:spPr>
            <a:solidFill>
              <a:srgbClr val="FFC000"/>
            </a:solidFill>
            <a:ln>
              <a:solidFill>
                <a:schemeClr val="accent2"/>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162996785165165"/>
          <c:y val="0.10810810810810811"/>
          <c:w val="0.5789617481246796"/>
          <c:h val="0.83011583011583012"/>
        </c:manualLayout>
      </c:layout>
      <c:barChart>
        <c:barDir val="bar"/>
        <c:grouping val="clustered"/>
        <c:varyColors val="0"/>
        <c:ser>
          <c:idx val="0"/>
          <c:order val="0"/>
          <c:tx>
            <c:strRef>
              <c:f>Dashboard!$E$3</c:f>
              <c:strCache>
                <c:ptCount val="1"/>
                <c:pt idx="0">
                  <c:v>Total</c:v>
                </c:pt>
              </c:strCache>
            </c:strRef>
          </c:tx>
          <c:spPr>
            <a:solidFill>
              <a:schemeClr val="bg2">
                <a:lumMod val="90000"/>
              </a:schemeClr>
            </a:solidFill>
            <a:ln>
              <a:noFill/>
            </a:ln>
            <a:effectLst/>
          </c:spPr>
          <c:invertIfNegative val="0"/>
          <c:dLbls>
            <c:spPr>
              <a:solidFill>
                <a:srgbClr val="FFC000"/>
              </a:solidFill>
              <a:ln>
                <a:solidFill>
                  <a:schemeClr val="accent2"/>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Dashboard!$D$4:$D$8</c:f>
              <c:strCache>
                <c:ptCount val="5"/>
                <c:pt idx="0">
                  <c:v>Executive_008</c:v>
                </c:pt>
                <c:pt idx="1">
                  <c:v>Executive_019</c:v>
                </c:pt>
                <c:pt idx="2">
                  <c:v>Executive_020</c:v>
                </c:pt>
                <c:pt idx="3">
                  <c:v>Executive_053</c:v>
                </c:pt>
                <c:pt idx="4">
                  <c:v>Executive_056</c:v>
                </c:pt>
              </c:strCache>
            </c:strRef>
          </c:cat>
          <c:val>
            <c:numRef>
              <c:f>Dashboard!$E$4:$E$8</c:f>
              <c:numCache>
                <c:formatCode>General</c:formatCode>
                <c:ptCount val="5"/>
                <c:pt idx="0">
                  <c:v>10840</c:v>
                </c:pt>
                <c:pt idx="1">
                  <c:v>12168</c:v>
                </c:pt>
                <c:pt idx="2">
                  <c:v>11206</c:v>
                </c:pt>
                <c:pt idx="3">
                  <c:v>13156</c:v>
                </c:pt>
                <c:pt idx="4">
                  <c:v>13540</c:v>
                </c:pt>
              </c:numCache>
            </c:numRef>
          </c:val>
          <c:extLst>
            <c:ext xmlns:c16="http://schemas.microsoft.com/office/drawing/2014/chart" uri="{C3380CC4-5D6E-409C-BE32-E72D297353CC}">
              <c16:uniqueId val="{00000000-46E2-47D6-BD20-285E2F245B0E}"/>
            </c:ext>
          </c:extLst>
        </c:ser>
        <c:dLbls>
          <c:showLegendKey val="0"/>
          <c:showVal val="0"/>
          <c:showCatName val="0"/>
          <c:showSerName val="0"/>
          <c:showPercent val="0"/>
          <c:showBubbleSize val="0"/>
        </c:dLbls>
        <c:gapWidth val="182"/>
        <c:axId val="1402671615"/>
        <c:axId val="1452693311"/>
      </c:barChart>
      <c:catAx>
        <c:axId val="14026716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52693311"/>
        <c:crosses val="autoZero"/>
        <c:auto val="1"/>
        <c:lblAlgn val="ctr"/>
        <c:lblOffset val="100"/>
        <c:noMultiLvlLbl val="0"/>
      </c:catAx>
      <c:valAx>
        <c:axId val="1452693311"/>
        <c:scaling>
          <c:orientation val="minMax"/>
        </c:scaling>
        <c:delete val="1"/>
        <c:axPos val="b"/>
        <c:numFmt formatCode="General" sourceLinked="1"/>
        <c:majorTickMark val="none"/>
        <c:minorTickMark val="none"/>
        <c:tickLblPos val="nextTo"/>
        <c:crossAx val="1402671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1964735516372796"/>
          <c:y val="6.5359477124183009E-3"/>
          <c:w val="0.76070528967254403"/>
          <c:h val="0.98692810457516345"/>
        </c:manualLayout>
      </c:layout>
      <c:pieChart>
        <c:varyColors val="1"/>
        <c:ser>
          <c:idx val="0"/>
          <c:order val="0"/>
          <c:tx>
            <c:v>Series1</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0F3-437A-A0E3-39D8DE8DFE1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0F3-437A-A0E3-39D8DE8DFE1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0F3-437A-A0E3-39D8DE8DFE1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0F3-437A-A0E3-39D8DE8DFE1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4"/>
              <c:pt idx="0">
                <c:v>East</c:v>
              </c:pt>
              <c:pt idx="1">
                <c:v>North</c:v>
              </c:pt>
              <c:pt idx="2">
                <c:v>South</c:v>
              </c:pt>
              <c:pt idx="3">
                <c:v>West</c:v>
              </c:pt>
            </c:strLit>
          </c:cat>
          <c:val>
            <c:numLit>
              <c:formatCode>General</c:formatCode>
              <c:ptCount val="4"/>
              <c:pt idx="0">
                <c:v>335722</c:v>
              </c:pt>
              <c:pt idx="1">
                <c:v>346369</c:v>
              </c:pt>
              <c:pt idx="2">
                <c:v>441714</c:v>
              </c:pt>
              <c:pt idx="3">
                <c:v>357815</c:v>
              </c:pt>
            </c:numLit>
          </c:val>
          <c:extLst>
            <c:ext xmlns:c16="http://schemas.microsoft.com/office/drawing/2014/chart" uri="{C3380CC4-5D6E-409C-BE32-E72D297353CC}">
              <c16:uniqueId val="{00000000-9E0C-43AE-B0C4-1B97BCDB7B1C}"/>
            </c:ext>
          </c:extLst>
        </c:ser>
        <c:dLbls>
          <c:dLblPos val="ctr"/>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dk1">
          <a:lumMod val="25000"/>
          <a:lumOff val="75000"/>
        </a:schemeClr>
      </a:solidFill>
      <a:round/>
    </a:ln>
    <a:effectLst/>
  </c:spPr>
  <c:txPr>
    <a:bodyPr/>
    <a:lstStyle/>
    <a:p>
      <a:pPr>
        <a:defRPr sz="800"/>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[sales_data_unique_100 final.xlsm]Dashboard!PivotTable1</c:name>
    <c:fmtId val="3"/>
  </c:pivotSource>
  <c:chart>
    <c:autoTitleDeleted val="1"/>
    <c:pivotFmts>
      <c:pivotFmt>
        <c:idx val="0"/>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Dashboard!$E$19</c:f>
              <c:strCache>
                <c:ptCount val="1"/>
                <c:pt idx="0">
                  <c:v>Total</c:v>
                </c:pt>
              </c:strCache>
            </c:strRef>
          </c:tx>
          <c:spPr>
            <a:ln w="28575" cap="rnd">
              <a:solidFill>
                <a:schemeClr val="accent6">
                  <a:lumMod val="75000"/>
                </a:schemeClr>
              </a:solidFill>
              <a:round/>
            </a:ln>
            <a:effectLst/>
          </c:spPr>
          <c:marker>
            <c:symbol val="none"/>
          </c:marker>
          <c:cat>
            <c:strRef>
              <c:f>Dashboard!$D$20:$D$24</c:f>
              <c:strCache>
                <c:ptCount val="5"/>
                <c:pt idx="0">
                  <c:v>Sales of Day1</c:v>
                </c:pt>
                <c:pt idx="1">
                  <c:v>Sales of Day2</c:v>
                </c:pt>
                <c:pt idx="2">
                  <c:v>Sales of Day3</c:v>
                </c:pt>
                <c:pt idx="3">
                  <c:v>Sales of Day4</c:v>
                </c:pt>
                <c:pt idx="4">
                  <c:v>Sales of Day5</c:v>
                </c:pt>
              </c:strCache>
            </c:strRef>
          </c:cat>
          <c:val>
            <c:numRef>
              <c:f>Dashboard!$E$20:$E$24</c:f>
              <c:numCache>
                <c:formatCode>General</c:formatCode>
                <c:ptCount val="5"/>
                <c:pt idx="0">
                  <c:v>295180</c:v>
                </c:pt>
                <c:pt idx="1">
                  <c:v>303878</c:v>
                </c:pt>
                <c:pt idx="2">
                  <c:v>304646</c:v>
                </c:pt>
                <c:pt idx="3">
                  <c:v>290313</c:v>
                </c:pt>
                <c:pt idx="4">
                  <c:v>287603</c:v>
                </c:pt>
              </c:numCache>
            </c:numRef>
          </c:val>
          <c:smooth val="0"/>
          <c:extLst>
            <c:ext xmlns:c16="http://schemas.microsoft.com/office/drawing/2014/chart" uri="{C3380CC4-5D6E-409C-BE32-E72D297353CC}">
              <c16:uniqueId val="{00000000-2A6F-4AA1-A249-6A2A774CDC94}"/>
            </c:ext>
          </c:extLst>
        </c:ser>
        <c:dLbls>
          <c:showLegendKey val="0"/>
          <c:showVal val="0"/>
          <c:showCatName val="0"/>
          <c:showSerName val="0"/>
          <c:showPercent val="0"/>
          <c:showBubbleSize val="0"/>
        </c:dLbls>
        <c:smooth val="0"/>
        <c:axId val="1254930543"/>
        <c:axId val="1254940143"/>
      </c:lineChart>
      <c:catAx>
        <c:axId val="125493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4940143"/>
        <c:crosses val="autoZero"/>
        <c:auto val="1"/>
        <c:lblAlgn val="ctr"/>
        <c:lblOffset val="100"/>
        <c:noMultiLvlLbl val="0"/>
      </c:catAx>
      <c:valAx>
        <c:axId val="12549401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4930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95000"/>
        <a:lumOff val="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19051</xdr:colOff>
      <xdr:row>8</xdr:row>
      <xdr:rowOff>57149</xdr:rowOff>
    </xdr:from>
    <xdr:to>
      <xdr:col>2</xdr:col>
      <xdr:colOff>25401</xdr:colOff>
      <xdr:row>17</xdr:row>
      <xdr:rowOff>0</xdr:rowOff>
    </xdr:to>
    <xdr:graphicFrame macro="">
      <xdr:nvGraphicFramePr>
        <xdr:cNvPr id="2" name="Chart 1">
          <a:extLst>
            <a:ext uri="{FF2B5EF4-FFF2-40B4-BE49-F238E27FC236}">
              <a16:creationId xmlns:a16="http://schemas.microsoft.com/office/drawing/2014/main" id="{44818C39-02DC-C931-65D7-FE5F4B18DC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8</xdr:row>
      <xdr:rowOff>57150</xdr:rowOff>
    </xdr:from>
    <xdr:to>
      <xdr:col>8</xdr:col>
      <xdr:colOff>19050</xdr:colOff>
      <xdr:row>17</xdr:row>
      <xdr:rowOff>0</xdr:rowOff>
    </xdr:to>
    <xdr:graphicFrame macro="">
      <xdr:nvGraphicFramePr>
        <xdr:cNvPr id="4" name="Chart 3">
          <a:extLst>
            <a:ext uri="{FF2B5EF4-FFF2-40B4-BE49-F238E27FC236}">
              <a16:creationId xmlns:a16="http://schemas.microsoft.com/office/drawing/2014/main" id="{602B1226-6D5D-260D-AEF4-7F880944B5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9525</xdr:colOff>
      <xdr:row>8</xdr:row>
      <xdr:rowOff>44450</xdr:rowOff>
    </xdr:from>
    <xdr:to>
      <xdr:col>10</xdr:col>
      <xdr:colOff>1219200</xdr:colOff>
      <xdr:row>17</xdr:row>
      <xdr:rowOff>0</xdr:rowOff>
    </xdr:to>
    <xdr:graphicFrame macro="">
      <xdr:nvGraphicFramePr>
        <xdr:cNvPr id="5" name="Chart 4">
          <a:extLst>
            <a:ext uri="{FF2B5EF4-FFF2-40B4-BE49-F238E27FC236}">
              <a16:creationId xmlns:a16="http://schemas.microsoft.com/office/drawing/2014/main" id="{ADD71D0F-D9F0-450F-A503-DC789F44B3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450850</xdr:colOff>
      <xdr:row>0</xdr:row>
      <xdr:rowOff>25401</xdr:rowOff>
    </xdr:from>
    <xdr:to>
      <xdr:col>10</xdr:col>
      <xdr:colOff>368300</xdr:colOff>
      <xdr:row>1</xdr:row>
      <xdr:rowOff>44451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38BC3A9D-165C-081A-0727-DE107402D10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50850" y="25401"/>
              <a:ext cx="9658350" cy="431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552450</xdr:colOff>
      <xdr:row>1</xdr:row>
      <xdr:rowOff>107950</xdr:rowOff>
    </xdr:from>
    <xdr:to>
      <xdr:col>1</xdr:col>
      <xdr:colOff>374650</xdr:colOff>
      <xdr:row>1</xdr:row>
      <xdr:rowOff>406400</xdr:rowOff>
    </xdr:to>
    <xdr:sp macro="" textlink="">
      <xdr:nvSpPr>
        <xdr:cNvPr id="3" name="Speech Bubble: Rectangle 2">
          <a:extLst>
            <a:ext uri="{FF2B5EF4-FFF2-40B4-BE49-F238E27FC236}">
              <a16:creationId xmlns:a16="http://schemas.microsoft.com/office/drawing/2014/main" id="{0E5DE2CA-5C97-7D3F-9570-371F97109A9C}"/>
            </a:ext>
          </a:extLst>
        </xdr:cNvPr>
        <xdr:cNvSpPr/>
      </xdr:nvSpPr>
      <xdr:spPr>
        <a:xfrm>
          <a:off x="552450" y="292100"/>
          <a:ext cx="1009650" cy="298450"/>
        </a:xfrm>
        <a:prstGeom prst="wedge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635000</xdr:colOff>
          <xdr:row>1</xdr:row>
          <xdr:rowOff>101600</xdr:rowOff>
        </xdr:from>
        <xdr:to>
          <xdr:col>0</xdr:col>
          <xdr:colOff>1384300</xdr:colOff>
          <xdr:row>1</xdr:row>
          <xdr:rowOff>400050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463550</xdr:colOff>
      <xdr:row>1</xdr:row>
      <xdr:rowOff>101600</xdr:rowOff>
    </xdr:from>
    <xdr:to>
      <xdr:col>4</xdr:col>
      <xdr:colOff>311150</xdr:colOff>
      <xdr:row>1</xdr:row>
      <xdr:rowOff>400050</xdr:rowOff>
    </xdr:to>
    <xdr:sp macro="" textlink="">
      <xdr:nvSpPr>
        <xdr:cNvPr id="6" name="Speech Bubble: Rectangle 5">
          <a:extLst>
            <a:ext uri="{FF2B5EF4-FFF2-40B4-BE49-F238E27FC236}">
              <a16:creationId xmlns:a16="http://schemas.microsoft.com/office/drawing/2014/main" id="{D0AA8342-8C76-A20C-3E63-4876D84EC3F4}"/>
            </a:ext>
          </a:extLst>
        </xdr:cNvPr>
        <xdr:cNvSpPr/>
      </xdr:nvSpPr>
      <xdr:spPr>
        <a:xfrm>
          <a:off x="3200400" y="514350"/>
          <a:ext cx="1543050" cy="298450"/>
        </a:xfrm>
        <a:prstGeom prst="wedge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558800</xdr:colOff>
          <xdr:row>1</xdr:row>
          <xdr:rowOff>95250</xdr:rowOff>
        </xdr:from>
        <xdr:to>
          <xdr:col>3</xdr:col>
          <xdr:colOff>1308100</xdr:colOff>
          <xdr:row>1</xdr:row>
          <xdr:rowOff>393700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444500</xdr:colOff>
      <xdr:row>1</xdr:row>
      <xdr:rowOff>95250</xdr:rowOff>
    </xdr:from>
    <xdr:to>
      <xdr:col>7</xdr:col>
      <xdr:colOff>323850</xdr:colOff>
      <xdr:row>1</xdr:row>
      <xdr:rowOff>393700</xdr:rowOff>
    </xdr:to>
    <xdr:sp macro="" textlink="">
      <xdr:nvSpPr>
        <xdr:cNvPr id="8" name="Speech Bubble: Rectangle 7">
          <a:extLst>
            <a:ext uri="{FF2B5EF4-FFF2-40B4-BE49-F238E27FC236}">
              <a16:creationId xmlns:a16="http://schemas.microsoft.com/office/drawing/2014/main" id="{A780A042-5D1C-06E5-D503-1E9EBA4955E3}"/>
            </a:ext>
          </a:extLst>
        </xdr:cNvPr>
        <xdr:cNvSpPr/>
      </xdr:nvSpPr>
      <xdr:spPr>
        <a:xfrm>
          <a:off x="4495800" y="279400"/>
          <a:ext cx="984250" cy="298450"/>
        </a:xfrm>
        <a:prstGeom prst="wedge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546100</xdr:colOff>
          <xdr:row>1</xdr:row>
          <xdr:rowOff>88900</xdr:rowOff>
        </xdr:from>
        <xdr:to>
          <xdr:col>6</xdr:col>
          <xdr:colOff>1295400</xdr:colOff>
          <xdr:row>1</xdr:row>
          <xdr:rowOff>387350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615950</xdr:colOff>
      <xdr:row>1</xdr:row>
      <xdr:rowOff>95250</xdr:rowOff>
    </xdr:from>
    <xdr:to>
      <xdr:col>10</xdr:col>
      <xdr:colOff>501650</xdr:colOff>
      <xdr:row>1</xdr:row>
      <xdr:rowOff>393700</xdr:rowOff>
    </xdr:to>
    <xdr:sp macro="" textlink="">
      <xdr:nvSpPr>
        <xdr:cNvPr id="9" name="Speech Bubble: Rectangle 8">
          <a:extLst>
            <a:ext uri="{FF2B5EF4-FFF2-40B4-BE49-F238E27FC236}">
              <a16:creationId xmlns:a16="http://schemas.microsoft.com/office/drawing/2014/main" id="{73E4382E-BE2A-91B7-06BA-F5DFA97E4948}"/>
            </a:ext>
          </a:extLst>
        </xdr:cNvPr>
        <xdr:cNvSpPr/>
      </xdr:nvSpPr>
      <xdr:spPr>
        <a:xfrm>
          <a:off x="6699250" y="279400"/>
          <a:ext cx="977900" cy="298450"/>
        </a:xfrm>
        <a:prstGeom prst="wedge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704850</xdr:colOff>
          <xdr:row>1</xdr:row>
          <xdr:rowOff>88900</xdr:rowOff>
        </xdr:from>
        <xdr:to>
          <xdr:col>9</xdr:col>
          <xdr:colOff>1454150</xdr:colOff>
          <xdr:row>1</xdr:row>
          <xdr:rowOff>387350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2</xdr:col>
      <xdr:colOff>73025</xdr:colOff>
      <xdr:row>8</xdr:row>
      <xdr:rowOff>63500</xdr:rowOff>
    </xdr:from>
    <xdr:to>
      <xdr:col>5</xdr:col>
      <xdr:colOff>19050</xdr:colOff>
      <xdr:row>17</xdr:row>
      <xdr:rowOff>0</xdr:rowOff>
    </xdr:to>
    <xdr:graphicFrame macro="">
      <xdr:nvGraphicFramePr>
        <xdr:cNvPr id="11" name="Chart 10">
          <a:extLst>
            <a:ext uri="{FF2B5EF4-FFF2-40B4-BE49-F238E27FC236}">
              <a16:creationId xmlns:a16="http://schemas.microsoft.com/office/drawing/2014/main" id="{707FF8FE-73B7-3634-871A-31F91A6366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69850</xdr:colOff>
      <xdr:row>18</xdr:row>
      <xdr:rowOff>222250</xdr:rowOff>
    </xdr:from>
    <xdr:to>
      <xdr:col>1</xdr:col>
      <xdr:colOff>958850</xdr:colOff>
      <xdr:row>24</xdr:row>
      <xdr:rowOff>69850</xdr:rowOff>
    </xdr:to>
    <xdr:graphicFrame macro="">
      <xdr:nvGraphicFramePr>
        <xdr:cNvPr id="12" name="Chart 11">
          <a:extLst>
            <a:ext uri="{FF2B5EF4-FFF2-40B4-BE49-F238E27FC236}">
              <a16:creationId xmlns:a16="http://schemas.microsoft.com/office/drawing/2014/main" id="{2A619EF8-4884-837C-F9C5-8D38A45219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18</xdr:row>
      <xdr:rowOff>0</xdr:rowOff>
    </xdr:from>
    <xdr:to>
      <xdr:col>10</xdr:col>
      <xdr:colOff>1096818</xdr:colOff>
      <xdr:row>24</xdr:row>
      <xdr:rowOff>40409</xdr:rowOff>
    </xdr:to>
    <xdr:graphicFrame macro="">
      <xdr:nvGraphicFramePr>
        <xdr:cNvPr id="13" name="Chart 12">
          <a:extLst>
            <a:ext uri="{FF2B5EF4-FFF2-40B4-BE49-F238E27FC236}">
              <a16:creationId xmlns:a16="http://schemas.microsoft.com/office/drawing/2014/main" id="{EF9A3696-FC2E-F796-FC5D-A73FFC81A4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911.714391319445" createdVersion="8" refreshedVersion="8" minRefreshableVersion="3" recordCount="100" xr:uid="{4CD42C42-6C19-4FC0-8A97-F13D1D30EF40}">
  <cacheSource type="worksheet">
    <worksheetSource ref="A1:L101" sheet="Row Data"/>
  </cacheSource>
  <cacheFields count="12">
    <cacheField name="Emp Code" numFmtId="0">
      <sharedItems/>
    </cacheField>
    <cacheField name="Sales Executive" numFmtId="0">
      <sharedItems count="100">
        <s v="Executive_001"/>
        <s v="Executive_002"/>
        <s v="Executive_003"/>
        <s v="Executive_004"/>
        <s v="Executive_005"/>
        <s v="Executive_006"/>
        <s v="Executive_007"/>
        <s v="Executive_008"/>
        <s v="Executive_009"/>
        <s v="Executive_010"/>
        <s v="Executive_011"/>
        <s v="Executive_012"/>
        <s v="Executive_013"/>
        <s v="Executive_014"/>
        <s v="Executive_015"/>
        <s v="Executive_016"/>
        <s v="Executive_017"/>
        <s v="Executive_018"/>
        <s v="Executive_019"/>
        <s v="Executive_020"/>
        <s v="Executive_021"/>
        <s v="Executive_022"/>
        <s v="Executive_023"/>
        <s v="Executive_024"/>
        <s v="Executive_025"/>
        <s v="Executive_026"/>
        <s v="Executive_027"/>
        <s v="Executive_028"/>
        <s v="Executive_029"/>
        <s v="Executive_030"/>
        <s v="Executive_031"/>
        <s v="Executive_032"/>
        <s v="Executive_033"/>
        <s v="Executive_034"/>
        <s v="Executive_035"/>
        <s v="Executive_036"/>
        <s v="Executive_037"/>
        <s v="Executive_038"/>
        <s v="Executive_039"/>
        <s v="Executive_040"/>
        <s v="Executive_041"/>
        <s v="Executive_042"/>
        <s v="Executive_043"/>
        <s v="Executive_044"/>
        <s v="Executive_045"/>
        <s v="Executive_046"/>
        <s v="Executive_047"/>
        <s v="Executive_048"/>
        <s v="Executive_049"/>
        <s v="Executive_050"/>
        <s v="Executive_051"/>
        <s v="Executive_052"/>
        <s v="Executive_053"/>
        <s v="Executive_054"/>
        <s v="Executive_055"/>
        <s v="Executive_056"/>
        <s v="Executive_057"/>
        <s v="Executive_058"/>
        <s v="Executive_059"/>
        <s v="Executive_060"/>
        <s v="Executive_061"/>
        <s v="Executive_062"/>
        <s v="Executive_063"/>
        <s v="Executive_064"/>
        <s v="Executive_065"/>
        <s v="Executive_066"/>
        <s v="Executive_067"/>
        <s v="Executive_068"/>
        <s v="Executive_069"/>
        <s v="Executive_070"/>
        <s v="Executive_071"/>
        <s v="Executive_072"/>
        <s v="Executive_073"/>
        <s v="Executive_074"/>
        <s v="Executive_075"/>
        <s v="Executive_076"/>
        <s v="Executive_077"/>
        <s v="Executive_078"/>
        <s v="Executive_079"/>
        <s v="Executive_080"/>
        <s v="Executive_081"/>
        <s v="Executive_082"/>
        <s v="Executive_083"/>
        <s v="Executive_084"/>
        <s v="Executive_085"/>
        <s v="Executive_086"/>
        <s v="Executive_087"/>
        <s v="Executive_088"/>
        <s v="Executive_089"/>
        <s v="Executive_090"/>
        <s v="Executive_091"/>
        <s v="Executive_092"/>
        <s v="Executive_093"/>
        <s v="Executive_094"/>
        <s v="Executive_095"/>
        <s v="Executive_096"/>
        <s v="Executive_097"/>
        <s v="Executive_098"/>
        <s v="Executive_099"/>
        <s v="Executive_100"/>
      </sharedItems>
    </cacheField>
    <cacheField name="Region" numFmtId="0">
      <sharedItems count="4">
        <s v="South"/>
        <s v="East"/>
        <s v="North"/>
        <s v="West"/>
      </sharedItems>
    </cacheField>
    <cacheField name="Day1" numFmtId="0">
      <sharedItems containsSemiMixedTypes="0" containsString="0" containsNumber="1" containsInteger="1" minValue="1076" maxValue="4961" count="97">
        <n v="1353"/>
        <n v="2715"/>
        <n v="1206"/>
        <n v="1596"/>
        <n v="1153"/>
        <n v="4250"/>
        <n v="3911"/>
        <n v="3411"/>
        <n v="2195"/>
        <n v="4947"/>
        <n v="4715"/>
        <n v="1632"/>
        <n v="3283"/>
        <n v="1165"/>
        <n v="2642"/>
        <n v="4607"/>
        <n v="4062"/>
        <n v="4822"/>
        <n v="2120"/>
        <n v="4368"/>
        <n v="1697"/>
        <n v="2303"/>
        <n v="1767"/>
        <n v="3317"/>
        <n v="2834"/>
        <n v="4630"/>
        <n v="1128"/>
        <n v="3910"/>
        <n v="2067"/>
        <n v="3748"/>
        <n v="4643"/>
        <n v="3041"/>
        <n v="4794"/>
        <n v="1312"/>
        <n v="4719"/>
        <n v="2526"/>
        <n v="2268"/>
        <n v="1076"/>
        <n v="2118"/>
        <n v="2359"/>
        <n v="2894"/>
        <n v="4197"/>
        <n v="4961"/>
        <n v="1452"/>
        <n v="2261"/>
        <n v="3778"/>
        <n v="1788"/>
        <n v="1856"/>
        <n v="2355"/>
        <n v="4063"/>
        <n v="3913"/>
        <n v="2806"/>
        <n v="2367"/>
        <n v="2391"/>
        <n v="1671"/>
        <n v="2168"/>
        <n v="1478"/>
        <n v="3657"/>
        <n v="2915"/>
        <n v="2944"/>
        <n v="3668"/>
        <n v="1307"/>
        <n v="4566"/>
        <n v="4337"/>
        <n v="2450"/>
        <n v="2013"/>
        <n v="3605"/>
        <n v="1273"/>
        <n v="2403"/>
        <n v="1964"/>
        <n v="2155"/>
        <n v="3783"/>
        <n v="3090"/>
        <n v="3202"/>
        <n v="2385"/>
        <n v="3548"/>
        <n v="2242"/>
        <n v="4158"/>
        <n v="2713"/>
        <n v="1875"/>
        <n v="1506"/>
        <n v="4543"/>
        <n v="2373"/>
        <n v="2534"/>
        <n v="4846"/>
        <n v="4106"/>
        <n v="2313"/>
        <n v="2586"/>
        <n v="4258"/>
        <n v="3220"/>
        <n v="3970"/>
        <n v="2334"/>
        <n v="4839"/>
        <n v="4330"/>
        <n v="1644"/>
        <n v="2150"/>
        <n v="3288"/>
      </sharedItems>
    </cacheField>
    <cacheField name="Day2" numFmtId="0">
      <sharedItems containsSemiMixedTypes="0" containsString="0" containsNumber="1" containsInteger="1" minValue="1046" maxValue="4963"/>
    </cacheField>
    <cacheField name="Day3" numFmtId="0">
      <sharedItems containsSemiMixedTypes="0" containsString="0" containsNumber="1" containsInteger="1" minValue="1076" maxValue="4948"/>
    </cacheField>
    <cacheField name="Day4" numFmtId="0">
      <sharedItems containsSemiMixedTypes="0" containsString="0" containsNumber="1" containsInteger="1" minValue="1003" maxValue="4994"/>
    </cacheField>
    <cacheField name="Day5" numFmtId="0">
      <sharedItems containsSemiMixedTypes="0" containsString="0" containsNumber="1" containsInteger="1" minValue="1014" maxValue="4898"/>
    </cacheField>
    <cacheField name="Total Sales" numFmtId="0">
      <sharedItems containsSemiMixedTypes="0" containsString="0" containsNumber="1" containsInteger="1" minValue="9322" maxValue="21888" count="100">
        <n v="15916"/>
        <n v="12717"/>
        <n v="14223"/>
        <n v="16405"/>
        <n v="15829"/>
        <n v="14303"/>
        <n v="14441"/>
        <n v="10840"/>
        <n v="14944"/>
        <n v="15882"/>
        <n v="15953"/>
        <n v="11408"/>
        <n v="15120"/>
        <n v="14989"/>
        <n v="15141"/>
        <n v="17130"/>
        <n v="16781"/>
        <n v="18722"/>
        <n v="12168"/>
        <n v="11206"/>
        <n v="15069"/>
        <n v="18002"/>
        <n v="15437"/>
        <n v="14292"/>
        <n v="15130"/>
        <n v="15995"/>
        <n v="9626"/>
        <n v="18230"/>
        <n v="17043"/>
        <n v="13042"/>
        <n v="18500"/>
        <n v="15900"/>
        <n v="16274"/>
        <n v="13209"/>
        <n v="17321"/>
        <n v="14633"/>
        <n v="14767"/>
        <n v="16298"/>
        <n v="13725"/>
        <n v="17243"/>
        <n v="14276"/>
        <n v="16040"/>
        <n v="18222"/>
        <n v="14728"/>
        <n v="15908"/>
        <n v="13642"/>
        <n v="17756"/>
        <n v="9732"/>
        <n v="15086"/>
        <n v="17552"/>
        <n v="15746"/>
        <n v="13833"/>
        <n v="13156"/>
        <n v="12576"/>
        <n v="16368"/>
        <n v="13540"/>
        <n v="11126"/>
        <n v="14671"/>
        <n v="19010"/>
        <n v="13266"/>
        <n v="16457"/>
        <n v="14121"/>
        <n v="14811"/>
        <n v="17998"/>
        <n v="15767"/>
        <n v="15841"/>
        <n v="12154"/>
        <n v="14288"/>
        <n v="9332"/>
        <n v="9322"/>
        <n v="11904"/>
        <n v="9907"/>
        <n v="18044"/>
        <n v="12464"/>
        <n v="13670"/>
        <n v="9698"/>
        <n v="16305"/>
        <n v="16077"/>
        <n v="15219"/>
        <n v="14909"/>
        <n v="16402"/>
        <n v="16454"/>
        <n v="13980"/>
        <n v="11644"/>
        <n v="16631"/>
        <n v="21888"/>
        <n v="18210"/>
        <n v="14579"/>
        <n v="9663"/>
        <n v="12144"/>
        <n v="18997"/>
        <n v="14482"/>
        <n v="16045"/>
        <n v="13903"/>
        <n v="17469"/>
        <n v="15574"/>
        <n v="14342"/>
        <n v="15390"/>
        <n v="13754"/>
        <n v="11693"/>
      </sharedItems>
    </cacheField>
    <cacheField name="Target" numFmtId="0">
      <sharedItems containsSemiMixedTypes="0" containsString="0" containsNumber="1" containsInteger="1" minValue="15004" maxValue="19987"/>
    </cacheField>
    <cacheField name="Target Hit %" numFmtId="0">
      <sharedItems containsSemiMixedTypes="0" containsString="0" containsNumber="1" minValue="49.25" maxValue="121.69"/>
    </cacheField>
    <cacheField name="Away from Target %" numFmtId="0">
      <sharedItems containsSemiMixedTypes="0" containsString="0" containsNumber="1" minValue="-21.69" maxValue="50.75"/>
    </cacheField>
  </cacheFields>
  <extLst>
    <ext xmlns:x14="http://schemas.microsoft.com/office/spreadsheetml/2009/9/main" uri="{725AE2AE-9491-48be-B2B4-4EB974FC3084}">
      <x14:pivotCacheDefinition pivotCacheId="9486758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MP001"/>
    <x v="0"/>
    <x v="0"/>
    <x v="0"/>
    <n v="4587"/>
    <n v="2149"/>
    <n v="3385"/>
    <n v="4442"/>
    <x v="0"/>
    <n v="16304"/>
    <n v="97.62"/>
    <n v="2.38"/>
  </r>
  <r>
    <s v="EMP002"/>
    <x v="1"/>
    <x v="1"/>
    <x v="1"/>
    <n v="3293"/>
    <n v="4002"/>
    <n v="1093"/>
    <n v="1614"/>
    <x v="1"/>
    <n v="15144"/>
    <n v="83.97"/>
    <n v="16.03"/>
  </r>
  <r>
    <s v="EMP003"/>
    <x v="2"/>
    <x v="2"/>
    <x v="2"/>
    <n v="3256"/>
    <n v="1659"/>
    <n v="3211"/>
    <n v="4891"/>
    <x v="2"/>
    <n v="17602"/>
    <n v="80.8"/>
    <n v="19.2"/>
  </r>
  <r>
    <s v="EMP004"/>
    <x v="3"/>
    <x v="0"/>
    <x v="3"/>
    <n v="4501"/>
    <n v="3451"/>
    <n v="3431"/>
    <n v="3426"/>
    <x v="3"/>
    <n v="17492"/>
    <n v="93.79"/>
    <n v="6.21"/>
  </r>
  <r>
    <s v="EMP005"/>
    <x v="4"/>
    <x v="2"/>
    <x v="4"/>
    <n v="2281"/>
    <n v="4743"/>
    <n v="3957"/>
    <n v="3695"/>
    <x v="4"/>
    <n v="15952"/>
    <n v="99.23"/>
    <n v="0.77"/>
  </r>
  <r>
    <s v="EMP006"/>
    <x v="5"/>
    <x v="3"/>
    <x v="5"/>
    <n v="1253"/>
    <n v="3882"/>
    <n v="3799"/>
    <n v="1119"/>
    <x v="5"/>
    <n v="19117"/>
    <n v="74.819999999999993"/>
    <n v="25.18"/>
  </r>
  <r>
    <s v="EMP007"/>
    <x v="6"/>
    <x v="3"/>
    <x v="6"/>
    <n v="2868"/>
    <n v="4533"/>
    <n v="1092"/>
    <n v="2037"/>
    <x v="6"/>
    <n v="15072"/>
    <n v="95.81"/>
    <n v="4.1900000000000004"/>
  </r>
  <r>
    <s v="EMP008"/>
    <x v="7"/>
    <x v="3"/>
    <x v="7"/>
    <n v="2033"/>
    <n v="1691"/>
    <n v="1003"/>
    <n v="2702"/>
    <x v="7"/>
    <n v="16504"/>
    <n v="65.680000000000007"/>
    <n v="34.32"/>
  </r>
  <r>
    <s v="EMP009"/>
    <x v="8"/>
    <x v="2"/>
    <x v="8"/>
    <n v="4162"/>
    <n v="4882"/>
    <n v="2139"/>
    <n v="1566"/>
    <x v="8"/>
    <n v="17378"/>
    <n v="85.99"/>
    <n v="14.01"/>
  </r>
  <r>
    <s v="EMP010"/>
    <x v="9"/>
    <x v="0"/>
    <x v="9"/>
    <n v="2336"/>
    <n v="1530"/>
    <n v="2800"/>
    <n v="4269"/>
    <x v="9"/>
    <n v="16816"/>
    <n v="94.45"/>
    <n v="5.55"/>
  </r>
  <r>
    <s v="EMP011"/>
    <x v="10"/>
    <x v="1"/>
    <x v="10"/>
    <n v="4567"/>
    <n v="1831"/>
    <n v="3210"/>
    <n v="1630"/>
    <x v="10"/>
    <n v="19226"/>
    <n v="82.98"/>
    <n v="17.02"/>
  </r>
  <r>
    <s v="EMP012"/>
    <x v="11"/>
    <x v="0"/>
    <x v="11"/>
    <n v="2217"/>
    <n v="1481"/>
    <n v="1263"/>
    <n v="4815"/>
    <x v="11"/>
    <n v="19940"/>
    <n v="57.21"/>
    <n v="42.79"/>
  </r>
  <r>
    <s v="EMP013"/>
    <x v="12"/>
    <x v="0"/>
    <x v="12"/>
    <n v="4724"/>
    <n v="3990"/>
    <n v="1049"/>
    <n v="2074"/>
    <x v="12"/>
    <n v="17233"/>
    <n v="87.74"/>
    <n v="12.26"/>
  </r>
  <r>
    <s v="EMP014"/>
    <x v="13"/>
    <x v="2"/>
    <x v="13"/>
    <n v="2026"/>
    <n v="4879"/>
    <n v="4618"/>
    <n v="2301"/>
    <x v="13"/>
    <n v="16190"/>
    <n v="92.58"/>
    <n v="7.42"/>
  </r>
  <r>
    <s v="EMP015"/>
    <x v="14"/>
    <x v="3"/>
    <x v="14"/>
    <n v="4454"/>
    <n v="3541"/>
    <n v="2440"/>
    <n v="2064"/>
    <x v="14"/>
    <n v="19083"/>
    <n v="79.34"/>
    <n v="20.66"/>
  </r>
  <r>
    <s v="EMP016"/>
    <x v="15"/>
    <x v="2"/>
    <x v="15"/>
    <n v="3398"/>
    <n v="2175"/>
    <n v="3313"/>
    <n v="3637"/>
    <x v="15"/>
    <n v="18510"/>
    <n v="92.54"/>
    <n v="7.46"/>
  </r>
  <r>
    <s v="EMP017"/>
    <x v="16"/>
    <x v="1"/>
    <x v="16"/>
    <n v="2425"/>
    <n v="3810"/>
    <n v="4661"/>
    <n v="1823"/>
    <x v="16"/>
    <n v="16236"/>
    <n v="103.36"/>
    <n v="-3.36"/>
  </r>
  <r>
    <s v="EMP018"/>
    <x v="17"/>
    <x v="0"/>
    <x v="17"/>
    <n v="4341"/>
    <n v="4948"/>
    <n v="3304"/>
    <n v="1307"/>
    <x v="17"/>
    <n v="19574"/>
    <n v="95.65"/>
    <n v="4.3499999999999996"/>
  </r>
  <r>
    <s v="EMP019"/>
    <x v="18"/>
    <x v="3"/>
    <x v="18"/>
    <n v="1442"/>
    <n v="3295"/>
    <n v="1188"/>
    <n v="4123"/>
    <x v="18"/>
    <n v="17412"/>
    <n v="69.88"/>
    <n v="30.12"/>
  </r>
  <r>
    <s v="EMP020"/>
    <x v="19"/>
    <x v="3"/>
    <x v="19"/>
    <n v="1938"/>
    <n v="1424"/>
    <n v="1664"/>
    <n v="1812"/>
    <x v="19"/>
    <n v="19502"/>
    <n v="57.46"/>
    <n v="42.54"/>
  </r>
  <r>
    <s v="EMP021"/>
    <x v="20"/>
    <x v="3"/>
    <x v="20"/>
    <n v="1647"/>
    <n v="3353"/>
    <n v="4375"/>
    <n v="3997"/>
    <x v="20"/>
    <n v="15004"/>
    <n v="100.43"/>
    <n v="-0.43"/>
  </r>
  <r>
    <s v="EMP022"/>
    <x v="21"/>
    <x v="3"/>
    <x v="21"/>
    <n v="4770"/>
    <n v="3098"/>
    <n v="4822"/>
    <n v="3009"/>
    <x v="21"/>
    <n v="19985"/>
    <n v="90.08"/>
    <n v="9.92"/>
  </r>
  <r>
    <s v="EMP023"/>
    <x v="22"/>
    <x v="0"/>
    <x v="22"/>
    <n v="3364"/>
    <n v="3504"/>
    <n v="2267"/>
    <n v="4535"/>
    <x v="22"/>
    <n v="19530"/>
    <n v="79.040000000000006"/>
    <n v="20.96"/>
  </r>
  <r>
    <s v="EMP024"/>
    <x v="23"/>
    <x v="0"/>
    <x v="23"/>
    <n v="1055"/>
    <n v="4762"/>
    <n v="3261"/>
    <n v="1897"/>
    <x v="23"/>
    <n v="18107"/>
    <n v="78.930000000000007"/>
    <n v="21.07"/>
  </r>
  <r>
    <s v="EMP025"/>
    <x v="24"/>
    <x v="3"/>
    <x v="24"/>
    <n v="1134"/>
    <n v="4831"/>
    <n v="3016"/>
    <n v="3315"/>
    <x v="24"/>
    <n v="16198"/>
    <n v="93.41"/>
    <n v="6.59"/>
  </r>
  <r>
    <s v="EMP026"/>
    <x v="25"/>
    <x v="3"/>
    <x v="25"/>
    <n v="1543"/>
    <n v="4405"/>
    <n v="2712"/>
    <n v="2705"/>
    <x v="25"/>
    <n v="16438"/>
    <n v="97.31"/>
    <n v="2.69"/>
  </r>
  <r>
    <s v="EMP027"/>
    <x v="26"/>
    <x v="0"/>
    <x v="26"/>
    <n v="1387"/>
    <n v="3324"/>
    <n v="2537"/>
    <n v="1250"/>
    <x v="26"/>
    <n v="17207"/>
    <n v="55.94"/>
    <n v="44.06"/>
  </r>
  <r>
    <s v="EMP028"/>
    <x v="27"/>
    <x v="1"/>
    <x v="27"/>
    <n v="4473"/>
    <n v="3844"/>
    <n v="1298"/>
    <n v="4705"/>
    <x v="27"/>
    <n v="15004"/>
    <n v="121.5"/>
    <n v="-21.5"/>
  </r>
  <r>
    <s v="EMP029"/>
    <x v="28"/>
    <x v="0"/>
    <x v="28"/>
    <n v="4289"/>
    <n v="1509"/>
    <n v="4571"/>
    <n v="4607"/>
    <x v="28"/>
    <n v="17910"/>
    <n v="95.16"/>
    <n v="4.84"/>
  </r>
  <r>
    <s v="EMP030"/>
    <x v="29"/>
    <x v="1"/>
    <x v="29"/>
    <n v="4648"/>
    <n v="1428"/>
    <n v="1873"/>
    <n v="1345"/>
    <x v="29"/>
    <n v="15161"/>
    <n v="86.02"/>
    <n v="13.98"/>
  </r>
  <r>
    <s v="EMP031"/>
    <x v="30"/>
    <x v="0"/>
    <x v="30"/>
    <n v="3068"/>
    <n v="2634"/>
    <n v="4966"/>
    <n v="3189"/>
    <x v="30"/>
    <n v="15203"/>
    <n v="121.69"/>
    <n v="-21.69"/>
  </r>
  <r>
    <s v="EMP032"/>
    <x v="31"/>
    <x v="2"/>
    <x v="31"/>
    <n v="2198"/>
    <n v="2075"/>
    <n v="4099"/>
    <n v="4487"/>
    <x v="31"/>
    <n v="17094"/>
    <n v="93.02"/>
    <n v="6.98"/>
  </r>
  <r>
    <s v="EMP033"/>
    <x v="32"/>
    <x v="2"/>
    <x v="32"/>
    <n v="2177"/>
    <n v="2947"/>
    <n v="2051"/>
    <n v="4305"/>
    <x v="32"/>
    <n v="17412"/>
    <n v="93.46"/>
    <n v="6.54"/>
  </r>
  <r>
    <s v="EMP034"/>
    <x v="33"/>
    <x v="0"/>
    <x v="33"/>
    <n v="2685"/>
    <n v="2074"/>
    <n v="3373"/>
    <n v="3765"/>
    <x v="33"/>
    <n v="18135"/>
    <n v="72.84"/>
    <n v="27.16"/>
  </r>
  <r>
    <s v="EMP035"/>
    <x v="34"/>
    <x v="0"/>
    <x v="34"/>
    <n v="1324"/>
    <n v="2909"/>
    <n v="4376"/>
    <n v="3993"/>
    <x v="34"/>
    <n v="17683"/>
    <n v="97.95"/>
    <n v="2.0499999999999998"/>
  </r>
  <r>
    <s v="EMP036"/>
    <x v="35"/>
    <x v="2"/>
    <x v="35"/>
    <n v="4963"/>
    <n v="4735"/>
    <n v="1299"/>
    <n v="1110"/>
    <x v="35"/>
    <n v="16070"/>
    <n v="91.06"/>
    <n v="8.94"/>
  </r>
  <r>
    <s v="EMP037"/>
    <x v="36"/>
    <x v="0"/>
    <x v="36"/>
    <n v="2902"/>
    <n v="2431"/>
    <n v="3286"/>
    <n v="3880"/>
    <x v="36"/>
    <n v="15650"/>
    <n v="94.36"/>
    <n v="5.64"/>
  </r>
  <r>
    <s v="EMP038"/>
    <x v="37"/>
    <x v="1"/>
    <x v="37"/>
    <n v="4924"/>
    <n v="4816"/>
    <n v="4396"/>
    <n v="1086"/>
    <x v="37"/>
    <n v="17246"/>
    <n v="94.5"/>
    <n v="5.5"/>
  </r>
  <r>
    <s v="EMP039"/>
    <x v="38"/>
    <x v="1"/>
    <x v="38"/>
    <n v="2500"/>
    <n v="3039"/>
    <n v="1868"/>
    <n v="4200"/>
    <x v="38"/>
    <n v="18394"/>
    <n v="74.62"/>
    <n v="25.38"/>
  </r>
  <r>
    <s v="EMP040"/>
    <x v="39"/>
    <x v="3"/>
    <x v="39"/>
    <n v="2236"/>
    <n v="4894"/>
    <n v="3904"/>
    <n v="3850"/>
    <x v="39"/>
    <n v="17422"/>
    <n v="98.97"/>
    <n v="1.03"/>
  </r>
  <r>
    <s v="EMP041"/>
    <x v="40"/>
    <x v="1"/>
    <x v="40"/>
    <n v="2588"/>
    <n v="3823"/>
    <n v="1383"/>
    <n v="3588"/>
    <x v="40"/>
    <n v="18954"/>
    <n v="75.319999999999993"/>
    <n v="24.68"/>
  </r>
  <r>
    <s v="EMP042"/>
    <x v="41"/>
    <x v="0"/>
    <x v="41"/>
    <n v="2339"/>
    <n v="3788"/>
    <n v="2767"/>
    <n v="2949"/>
    <x v="41"/>
    <n v="17993"/>
    <n v="89.15"/>
    <n v="10.85"/>
  </r>
  <r>
    <s v="EMP043"/>
    <x v="42"/>
    <x v="1"/>
    <x v="42"/>
    <n v="3722"/>
    <n v="3297"/>
    <n v="4244"/>
    <n v="1998"/>
    <x v="42"/>
    <n v="17864"/>
    <n v="102"/>
    <n v="-2"/>
  </r>
  <r>
    <s v="EMP044"/>
    <x v="43"/>
    <x v="1"/>
    <x v="15"/>
    <n v="4128"/>
    <n v="2141"/>
    <n v="2096"/>
    <n v="1756"/>
    <x v="43"/>
    <n v="16187"/>
    <n v="90.99"/>
    <n v="9.01"/>
  </r>
  <r>
    <s v="EMP045"/>
    <x v="44"/>
    <x v="2"/>
    <x v="43"/>
    <n v="4077"/>
    <n v="3076"/>
    <n v="2803"/>
    <n v="4500"/>
    <x v="44"/>
    <n v="15079"/>
    <n v="105.5"/>
    <n v="-5.5"/>
  </r>
  <r>
    <s v="EMP046"/>
    <x v="45"/>
    <x v="2"/>
    <x v="44"/>
    <n v="3770"/>
    <n v="1798"/>
    <n v="3180"/>
    <n v="2633"/>
    <x v="45"/>
    <n v="18878"/>
    <n v="72.260000000000005"/>
    <n v="27.74"/>
  </r>
  <r>
    <s v="EMP047"/>
    <x v="46"/>
    <x v="1"/>
    <x v="45"/>
    <n v="4265"/>
    <n v="3633"/>
    <n v="3130"/>
    <n v="2950"/>
    <x v="46"/>
    <n v="19813"/>
    <n v="89.62"/>
    <n v="10.38"/>
  </r>
  <r>
    <s v="EMP048"/>
    <x v="47"/>
    <x v="0"/>
    <x v="46"/>
    <n v="1782"/>
    <n v="3336"/>
    <n v="1286"/>
    <n v="1540"/>
    <x v="47"/>
    <n v="17685"/>
    <n v="55.03"/>
    <n v="44.97"/>
  </r>
  <r>
    <s v="EMP049"/>
    <x v="48"/>
    <x v="3"/>
    <x v="47"/>
    <n v="4688"/>
    <n v="1904"/>
    <n v="4737"/>
    <n v="1901"/>
    <x v="48"/>
    <n v="15077"/>
    <n v="100.06"/>
    <n v="-0.06"/>
  </r>
  <r>
    <s v="EMP050"/>
    <x v="49"/>
    <x v="0"/>
    <x v="48"/>
    <n v="2981"/>
    <n v="4579"/>
    <n v="3678"/>
    <n v="3959"/>
    <x v="49"/>
    <n v="15127"/>
    <n v="116.03"/>
    <n v="-16.03"/>
  </r>
  <r>
    <s v="EMP051"/>
    <x v="50"/>
    <x v="3"/>
    <x v="49"/>
    <n v="4299"/>
    <n v="2650"/>
    <n v="2051"/>
    <n v="2683"/>
    <x v="50"/>
    <n v="19928"/>
    <n v="79.010000000000005"/>
    <n v="20.99"/>
  </r>
  <r>
    <s v="EMP052"/>
    <x v="51"/>
    <x v="3"/>
    <x v="50"/>
    <n v="3587"/>
    <n v="1596"/>
    <n v="3493"/>
    <n v="1244"/>
    <x v="51"/>
    <n v="19259"/>
    <n v="71.83"/>
    <n v="28.17"/>
  </r>
  <r>
    <s v="EMP053"/>
    <x v="52"/>
    <x v="3"/>
    <x v="51"/>
    <n v="2958"/>
    <n v="1447"/>
    <n v="2180"/>
    <n v="3765"/>
    <x v="52"/>
    <n v="16089"/>
    <n v="81.77"/>
    <n v="18.23"/>
  </r>
  <r>
    <s v="EMP054"/>
    <x v="53"/>
    <x v="0"/>
    <x v="52"/>
    <n v="2665"/>
    <n v="1947"/>
    <n v="3996"/>
    <n v="1601"/>
    <x v="53"/>
    <n v="17002"/>
    <n v="73.97"/>
    <n v="26.03"/>
  </r>
  <r>
    <s v="EMP055"/>
    <x v="54"/>
    <x v="1"/>
    <x v="53"/>
    <n v="4913"/>
    <n v="1545"/>
    <n v="3330"/>
    <n v="4189"/>
    <x v="54"/>
    <n v="16515"/>
    <n v="99.11"/>
    <n v="0.89"/>
  </r>
  <r>
    <s v="EMP056"/>
    <x v="55"/>
    <x v="3"/>
    <x v="54"/>
    <n v="4154"/>
    <n v="2592"/>
    <n v="2833"/>
    <n v="2290"/>
    <x v="55"/>
    <n v="19609"/>
    <n v="69.05"/>
    <n v="30.95"/>
  </r>
  <r>
    <s v="EMP057"/>
    <x v="56"/>
    <x v="0"/>
    <x v="55"/>
    <n v="4713"/>
    <n v="1686"/>
    <n v="1360"/>
    <n v="1199"/>
    <x v="56"/>
    <n v="16972"/>
    <n v="65.56"/>
    <n v="34.44"/>
  </r>
  <r>
    <s v="EMP058"/>
    <x v="57"/>
    <x v="2"/>
    <x v="56"/>
    <n v="1660"/>
    <n v="2398"/>
    <n v="4714"/>
    <n v="4421"/>
    <x v="57"/>
    <n v="18230"/>
    <n v="80.48"/>
    <n v="19.52"/>
  </r>
  <r>
    <s v="EMP059"/>
    <x v="58"/>
    <x v="2"/>
    <x v="57"/>
    <n v="4870"/>
    <n v="2639"/>
    <n v="4845"/>
    <n v="2999"/>
    <x v="58"/>
    <n v="17004"/>
    <n v="111.8"/>
    <n v="-11.8"/>
  </r>
  <r>
    <s v="EMP060"/>
    <x v="59"/>
    <x v="1"/>
    <x v="58"/>
    <n v="2369"/>
    <n v="3768"/>
    <n v="2172"/>
    <n v="2042"/>
    <x v="59"/>
    <n v="18245"/>
    <n v="72.709999999999994"/>
    <n v="27.29"/>
  </r>
  <r>
    <s v="EMP061"/>
    <x v="60"/>
    <x v="0"/>
    <x v="59"/>
    <n v="4467"/>
    <n v="3097"/>
    <n v="4935"/>
    <n v="1014"/>
    <x v="60"/>
    <n v="16343"/>
    <n v="100.7"/>
    <n v="-0.7"/>
  </r>
  <r>
    <s v="EMP062"/>
    <x v="61"/>
    <x v="3"/>
    <x v="60"/>
    <n v="2826"/>
    <n v="4772"/>
    <n v="1799"/>
    <n v="1056"/>
    <x v="61"/>
    <n v="15628"/>
    <n v="90.36"/>
    <n v="9.64"/>
  </r>
  <r>
    <s v="EMP063"/>
    <x v="62"/>
    <x v="2"/>
    <x v="61"/>
    <n v="3241"/>
    <n v="4123"/>
    <n v="3539"/>
    <n v="2601"/>
    <x v="62"/>
    <n v="16045"/>
    <n v="92.31"/>
    <n v="7.69"/>
  </r>
  <r>
    <s v="EMP064"/>
    <x v="63"/>
    <x v="3"/>
    <x v="62"/>
    <n v="3810"/>
    <n v="2756"/>
    <n v="3456"/>
    <n v="3410"/>
    <x v="63"/>
    <n v="16713"/>
    <n v="107.69"/>
    <n v="-7.69"/>
  </r>
  <r>
    <s v="EMP065"/>
    <x v="64"/>
    <x v="3"/>
    <x v="63"/>
    <n v="4060"/>
    <n v="2658"/>
    <n v="1345"/>
    <n v="3367"/>
    <x v="64"/>
    <n v="15462"/>
    <n v="101.97"/>
    <n v="-1.97"/>
  </r>
  <r>
    <s v="EMP066"/>
    <x v="65"/>
    <x v="3"/>
    <x v="64"/>
    <n v="4629"/>
    <n v="3648"/>
    <n v="2240"/>
    <n v="2874"/>
    <x v="65"/>
    <n v="18215"/>
    <n v="86.97"/>
    <n v="13.03"/>
  </r>
  <r>
    <s v="EMP067"/>
    <x v="66"/>
    <x v="0"/>
    <x v="65"/>
    <n v="2110"/>
    <n v="3454"/>
    <n v="1394"/>
    <n v="3183"/>
    <x v="66"/>
    <n v="16833"/>
    <n v="72.2"/>
    <n v="27.8"/>
  </r>
  <r>
    <s v="EMP068"/>
    <x v="67"/>
    <x v="3"/>
    <x v="66"/>
    <n v="2976"/>
    <n v="3539"/>
    <n v="1149"/>
    <n v="3019"/>
    <x v="67"/>
    <n v="15733"/>
    <n v="90.82"/>
    <n v="9.18"/>
  </r>
  <r>
    <s v="EMP069"/>
    <x v="68"/>
    <x v="0"/>
    <x v="67"/>
    <n v="1455"/>
    <n v="1146"/>
    <n v="2594"/>
    <n v="2864"/>
    <x v="68"/>
    <n v="18337"/>
    <n v="50.89"/>
    <n v="49.11"/>
  </r>
  <r>
    <s v="EMP070"/>
    <x v="69"/>
    <x v="1"/>
    <x v="68"/>
    <n v="2703"/>
    <n v="1426"/>
    <n v="1606"/>
    <n v="1184"/>
    <x v="69"/>
    <n v="17577"/>
    <n v="53.04"/>
    <n v="46.96"/>
  </r>
  <r>
    <s v="EMP071"/>
    <x v="70"/>
    <x v="1"/>
    <x v="69"/>
    <n v="4863"/>
    <n v="1217"/>
    <n v="1880"/>
    <n v="1980"/>
    <x v="70"/>
    <n v="19759"/>
    <n v="60.25"/>
    <n v="39.75"/>
  </r>
  <r>
    <s v="EMP072"/>
    <x v="71"/>
    <x v="0"/>
    <x v="70"/>
    <n v="2784"/>
    <n v="1768"/>
    <n v="1544"/>
    <n v="1656"/>
    <x v="71"/>
    <n v="15520"/>
    <n v="63.83"/>
    <n v="36.17"/>
  </r>
  <r>
    <s v="EMP073"/>
    <x v="72"/>
    <x v="1"/>
    <x v="71"/>
    <n v="3080"/>
    <n v="3814"/>
    <n v="3571"/>
    <n v="3796"/>
    <x v="72"/>
    <n v="15244"/>
    <n v="118.37"/>
    <n v="-18.37"/>
  </r>
  <r>
    <s v="EMP074"/>
    <x v="73"/>
    <x v="0"/>
    <x v="72"/>
    <n v="2451"/>
    <n v="2932"/>
    <n v="1141"/>
    <n v="2850"/>
    <x v="73"/>
    <n v="18764"/>
    <n v="66.430000000000007"/>
    <n v="33.57"/>
  </r>
  <r>
    <s v="EMP075"/>
    <x v="74"/>
    <x v="1"/>
    <x v="73"/>
    <n v="1534"/>
    <n v="2279"/>
    <n v="4994"/>
    <n v="1661"/>
    <x v="74"/>
    <n v="16719"/>
    <n v="81.760000000000005"/>
    <n v="18.239999999999998"/>
  </r>
  <r>
    <s v="EMP076"/>
    <x v="75"/>
    <x v="2"/>
    <x v="74"/>
    <n v="1421"/>
    <n v="2866"/>
    <n v="1738"/>
    <n v="1288"/>
    <x v="75"/>
    <n v="19690"/>
    <n v="49.25"/>
    <n v="50.75"/>
  </r>
  <r>
    <s v="EMP077"/>
    <x v="76"/>
    <x v="2"/>
    <x v="75"/>
    <n v="1755"/>
    <n v="2960"/>
    <n v="3710"/>
    <n v="4332"/>
    <x v="76"/>
    <n v="15239"/>
    <n v="107"/>
    <n v="-7"/>
  </r>
  <r>
    <s v="EMP078"/>
    <x v="77"/>
    <x v="1"/>
    <x v="76"/>
    <n v="4235"/>
    <n v="2498"/>
    <n v="3191"/>
    <n v="3911"/>
    <x v="77"/>
    <n v="17483"/>
    <n v="91.96"/>
    <n v="8.0399999999999991"/>
  </r>
  <r>
    <s v="EMP079"/>
    <x v="78"/>
    <x v="1"/>
    <x v="77"/>
    <n v="1904"/>
    <n v="3704"/>
    <n v="1418"/>
    <n v="4035"/>
    <x v="78"/>
    <n v="17418"/>
    <n v="87.38"/>
    <n v="12.62"/>
  </r>
  <r>
    <s v="EMP080"/>
    <x v="79"/>
    <x v="0"/>
    <x v="78"/>
    <n v="1962"/>
    <n v="3404"/>
    <n v="3381"/>
    <n v="3449"/>
    <x v="79"/>
    <n v="18009"/>
    <n v="82.79"/>
    <n v="17.21"/>
  </r>
  <r>
    <s v="EMP081"/>
    <x v="80"/>
    <x v="3"/>
    <x v="79"/>
    <n v="1769"/>
    <n v="3993"/>
    <n v="4990"/>
    <n v="3775"/>
    <x v="80"/>
    <n v="19686"/>
    <n v="83.32"/>
    <n v="16.68"/>
  </r>
  <r>
    <s v="EMP082"/>
    <x v="81"/>
    <x v="3"/>
    <x v="80"/>
    <n v="3672"/>
    <n v="3282"/>
    <n v="4313"/>
    <n v="3681"/>
    <x v="81"/>
    <n v="17112"/>
    <n v="96.15"/>
    <n v="3.85"/>
  </r>
  <r>
    <s v="EMP083"/>
    <x v="82"/>
    <x v="0"/>
    <x v="81"/>
    <n v="1237"/>
    <n v="1911"/>
    <n v="3429"/>
    <n v="2860"/>
    <x v="82"/>
    <n v="19412"/>
    <n v="72.02"/>
    <n v="27.98"/>
  </r>
  <r>
    <s v="EMP084"/>
    <x v="83"/>
    <x v="2"/>
    <x v="82"/>
    <n v="3321"/>
    <n v="1076"/>
    <n v="1048"/>
    <n v="3826"/>
    <x v="83"/>
    <n v="19384"/>
    <n v="60.07"/>
    <n v="39.93"/>
  </r>
  <r>
    <s v="EMP085"/>
    <x v="84"/>
    <x v="0"/>
    <x v="83"/>
    <n v="4682"/>
    <n v="3685"/>
    <n v="3828"/>
    <n v="1902"/>
    <x v="84"/>
    <n v="16221"/>
    <n v="102.53"/>
    <n v="-2.5299999999999998"/>
  </r>
  <r>
    <s v="EMP086"/>
    <x v="85"/>
    <x v="1"/>
    <x v="19"/>
    <n v="4284"/>
    <n v="4873"/>
    <n v="3465"/>
    <n v="4898"/>
    <x v="85"/>
    <n v="19372"/>
    <n v="112.99"/>
    <n v="-12.99"/>
  </r>
  <r>
    <s v="EMP087"/>
    <x v="86"/>
    <x v="2"/>
    <x v="84"/>
    <n v="4098"/>
    <n v="2671"/>
    <n v="1939"/>
    <n v="4656"/>
    <x v="86"/>
    <n v="15414"/>
    <n v="118.14"/>
    <n v="-18.14"/>
  </r>
  <r>
    <s v="EMP088"/>
    <x v="87"/>
    <x v="0"/>
    <x v="85"/>
    <n v="2439"/>
    <n v="2946"/>
    <n v="1989"/>
    <n v="3099"/>
    <x v="87"/>
    <n v="15069"/>
    <n v="96.75"/>
    <n v="3.25"/>
  </r>
  <r>
    <s v="EMP089"/>
    <x v="88"/>
    <x v="0"/>
    <x v="86"/>
    <n v="1046"/>
    <n v="1881"/>
    <n v="1316"/>
    <n v="3107"/>
    <x v="88"/>
    <n v="15407"/>
    <n v="62.72"/>
    <n v="37.28"/>
  </r>
  <r>
    <s v="EMP090"/>
    <x v="89"/>
    <x v="2"/>
    <x v="87"/>
    <n v="1608"/>
    <n v="1259"/>
    <n v="2766"/>
    <n v="3925"/>
    <x v="89"/>
    <n v="16882"/>
    <n v="71.930000000000007"/>
    <n v="28.07"/>
  </r>
  <r>
    <s v="EMP091"/>
    <x v="90"/>
    <x v="2"/>
    <x v="88"/>
    <n v="2554"/>
    <n v="4800"/>
    <n v="4795"/>
    <n v="2590"/>
    <x v="90"/>
    <n v="19562"/>
    <n v="97.11"/>
    <n v="2.89"/>
  </r>
  <r>
    <s v="EMP092"/>
    <x v="91"/>
    <x v="1"/>
    <x v="89"/>
    <n v="3919"/>
    <n v="4546"/>
    <n v="1507"/>
    <n v="1290"/>
    <x v="91"/>
    <n v="15132"/>
    <n v="95.7"/>
    <n v="4.3"/>
  </r>
  <r>
    <s v="EMP093"/>
    <x v="92"/>
    <x v="3"/>
    <x v="90"/>
    <n v="2301"/>
    <n v="4630"/>
    <n v="3776"/>
    <n v="1368"/>
    <x v="92"/>
    <n v="19987"/>
    <n v="80.28"/>
    <n v="19.72"/>
  </r>
  <r>
    <s v="EMP094"/>
    <x v="93"/>
    <x v="2"/>
    <x v="91"/>
    <n v="2750"/>
    <n v="4168"/>
    <n v="3178"/>
    <n v="1473"/>
    <x v="93"/>
    <n v="16848"/>
    <n v="82.52"/>
    <n v="17.48"/>
  </r>
  <r>
    <s v="EMP095"/>
    <x v="94"/>
    <x v="2"/>
    <x v="92"/>
    <n v="4843"/>
    <n v="2560"/>
    <n v="4029"/>
    <n v="1198"/>
    <x v="94"/>
    <n v="18151"/>
    <n v="96.24"/>
    <n v="3.76"/>
  </r>
  <r>
    <s v="EMP096"/>
    <x v="95"/>
    <x v="0"/>
    <x v="93"/>
    <n v="1510"/>
    <n v="2581"/>
    <n v="3339"/>
    <n v="3814"/>
    <x v="95"/>
    <n v="17742"/>
    <n v="87.78"/>
    <n v="12.22"/>
  </r>
  <r>
    <s v="EMP097"/>
    <x v="96"/>
    <x v="2"/>
    <x v="94"/>
    <n v="1736"/>
    <n v="4444"/>
    <n v="3725"/>
    <n v="2793"/>
    <x v="96"/>
    <n v="15075"/>
    <n v="95.14"/>
    <n v="4.8600000000000003"/>
  </r>
  <r>
    <s v="EMP098"/>
    <x v="97"/>
    <x v="0"/>
    <x v="21"/>
    <n v="4487"/>
    <n v="3124"/>
    <n v="2449"/>
    <n v="3027"/>
    <x v="97"/>
    <n v="18975"/>
    <n v="81.11"/>
    <n v="18.89"/>
  </r>
  <r>
    <s v="EMP099"/>
    <x v="98"/>
    <x v="1"/>
    <x v="95"/>
    <n v="1422"/>
    <n v="2481"/>
    <n v="4224"/>
    <n v="3477"/>
    <x v="98"/>
    <n v="15787"/>
    <n v="87.12"/>
    <n v="12.88"/>
  </r>
  <r>
    <s v="EMP100"/>
    <x v="99"/>
    <x v="2"/>
    <x v="96"/>
    <n v="2017"/>
    <n v="1523"/>
    <n v="2335"/>
    <n v="2530"/>
    <x v="99"/>
    <n v="15930"/>
    <n v="73.400000000000006"/>
    <n v="2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082BF9-8667-4AB2-A6A5-EB515892B97D}"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Off-Target Performers">
  <location ref="J3:K8" firstHeaderRow="1" firstDataRow="1" firstDataCol="1"/>
  <pivotFields count="12">
    <pivotField showAll="0"/>
    <pivotField axis="axisRow" showAll="0" measureFilter="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5">
        <item h="1" x="1"/>
        <item h="1" x="2"/>
        <item h="1" x="0"/>
        <item x="3"/>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7"/>
    </i>
    <i>
      <x v="18"/>
    </i>
    <i>
      <x v="19"/>
    </i>
    <i>
      <x v="51"/>
    </i>
    <i>
      <x v="55"/>
    </i>
  </rowItems>
  <colItems count="1">
    <i/>
  </colItems>
  <dataFields count="1">
    <dataField name="Away from Target % " fld="11" baseField="1" baseItem="26"/>
  </dataFields>
  <formats count="10">
    <format dxfId="0">
      <pivotArea dataOnly="0" fieldPosition="0">
        <references count="1">
          <reference field="1" count="5">
            <x v="45"/>
            <x v="75"/>
            <x v="83"/>
            <x v="89"/>
            <x v="99"/>
          </reference>
        </references>
      </pivotArea>
    </format>
    <format dxfId="1">
      <pivotArea dataOnly="0" fieldPosition="0">
        <references count="1">
          <reference field="1" count="5">
            <x v="45"/>
            <x v="75"/>
            <x v="83"/>
            <x v="89"/>
            <x v="99"/>
          </reference>
        </references>
      </pivotArea>
    </format>
    <format dxfId="2">
      <pivotArea dataOnly="0" labelOnly="1" fieldPosition="0">
        <references count="1">
          <reference field="1" count="5">
            <x v="38"/>
            <x v="40"/>
            <x v="59"/>
            <x v="69"/>
            <x v="70"/>
          </reference>
        </references>
      </pivotArea>
    </format>
    <format dxfId="3">
      <pivotArea dataOnly="0" labelOnly="1" fieldPosition="0">
        <references count="1">
          <reference field="1" count="5">
            <x v="11"/>
            <x v="26"/>
            <x v="47"/>
            <x v="68"/>
            <x v="88"/>
          </reference>
        </references>
      </pivotArea>
    </format>
    <format dxfId="4">
      <pivotArea dataOnly="0" labelOnly="1" fieldPosition="0">
        <references count="1">
          <reference field="1" count="5">
            <x v="7"/>
            <x v="18"/>
            <x v="19"/>
            <x v="51"/>
            <x v="55"/>
          </reference>
        </references>
      </pivotArea>
    </format>
    <format dxfId="5">
      <pivotArea outline="0" collapsedLevelsAreSubtotals="1" fieldPosition="0"/>
    </format>
    <format dxfId="6">
      <pivotArea dataOnly="0" labelOnly="1" outline="0" axis="axisValues" fieldPosition="0"/>
    </format>
    <format dxfId="7">
      <pivotArea field="1" type="button" dataOnly="0" labelOnly="1" outline="0" axis="axisRow" fieldPosition="0"/>
    </format>
    <format dxfId="8">
      <pivotArea dataOnly="0" labelOnly="1" outline="0" axis="axisValues" fieldPosition="0"/>
    </format>
    <format dxfId="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B2E61D-3B2B-43F1-97E3-C8355D7C5A7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rowHeaderCaption="On-Target Performers">
  <location ref="G3:H8" firstHeaderRow="1" firstDataRow="1" firstDataCol="1"/>
  <pivotFields count="12">
    <pivotField showAll="0"/>
    <pivotField axis="axisRow" showAll="0" measureFilter="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5">
        <item h="1" x="1"/>
        <item h="1" x="2"/>
        <item h="1" x="0"/>
        <item x="3"/>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20"/>
    </i>
    <i>
      <x v="39"/>
    </i>
    <i>
      <x v="48"/>
    </i>
    <i>
      <x v="63"/>
    </i>
    <i>
      <x v="64"/>
    </i>
  </rowItems>
  <colItems count="1">
    <i/>
  </colItems>
  <dataFields count="1">
    <dataField name="Target Hit % " fld="10" baseField="1" baseItem="0"/>
  </dataFields>
  <formats count="7">
    <format dxfId="16">
      <pivotArea dataOnly="0" labelOnly="1" fieldPosition="0">
        <references count="1">
          <reference field="1" count="5">
            <x v="16"/>
            <x v="27"/>
            <x v="42"/>
            <x v="72"/>
            <x v="85"/>
          </reference>
        </references>
      </pivotArea>
    </format>
    <format dxfId="15">
      <pivotArea dataOnly="0" labelOnly="1" fieldPosition="0">
        <references count="1">
          <reference field="1" count="5">
            <x v="4"/>
            <x v="44"/>
            <x v="58"/>
            <x v="76"/>
            <x v="86"/>
          </reference>
        </references>
      </pivotArea>
    </format>
    <format dxfId="14">
      <pivotArea dataOnly="0" labelOnly="1" fieldPosition="0">
        <references count="1">
          <reference field="1" count="5">
            <x v="30"/>
            <x v="34"/>
            <x v="49"/>
            <x v="60"/>
            <x v="84"/>
          </reference>
        </references>
      </pivotArea>
    </format>
    <format dxfId="13">
      <pivotArea dataOnly="0" labelOnly="1" fieldPosition="0">
        <references count="1">
          <reference field="1" count="5">
            <x v="20"/>
            <x v="39"/>
            <x v="48"/>
            <x v="63"/>
            <x v="64"/>
          </reference>
        </references>
      </pivotArea>
    </format>
    <format dxfId="12">
      <pivotArea dataOnly="0" outline="0" axis="axisValues" fieldPosition="0"/>
    </format>
    <format dxfId="11">
      <pivotArea field="1" type="button" dataOnly="0" labelOnly="1" outline="0" axis="axisRow" fieldPosition="0"/>
    </format>
    <format dxfId="10">
      <pivotArea dataOnly="0" labelOnly="1" outline="0" axis="axisValues" fieldPosition="0"/>
    </format>
  </formats>
  <chartFormats count="6">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86"/>
          </reference>
        </references>
      </pivotArea>
    </chartFormat>
    <chartFormat chart="3" format="2">
      <pivotArea type="data" outline="0" fieldPosition="0">
        <references count="2">
          <reference field="4294967294" count="1" selected="0">
            <x v="0"/>
          </reference>
          <reference field="1" count="1" selected="0">
            <x v="27"/>
          </reference>
        </references>
      </pivotArea>
    </chartFormat>
    <chartFormat chart="3" format="3">
      <pivotArea type="data" outline="0" fieldPosition="0">
        <references count="2">
          <reference field="4294967294" count="1" selected="0">
            <x v="0"/>
          </reference>
          <reference field="1" count="1" selected="0">
            <x v="72"/>
          </reference>
        </references>
      </pivotArea>
    </chartFormat>
    <chartFormat chart="3" format="4">
      <pivotArea type="data" outline="0" fieldPosition="0">
        <references count="2">
          <reference field="4294967294" count="1" selected="0">
            <x v="0"/>
          </reference>
          <reference field="1" count="1" selected="0">
            <x v="49"/>
          </reference>
        </references>
      </pivotArea>
    </chartFormat>
    <chartFormat chart="3" format="5">
      <pivotArea type="data" outline="0" fieldPosition="0">
        <references count="2">
          <reference field="4294967294" count="1" selected="0">
            <x v="0"/>
          </reference>
          <reference field="1" count="1" selected="0">
            <x v="30"/>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2AB0B5-7525-4469-926B-DE115BD21F35}"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Low Performers">
  <location ref="D3:E8" firstHeaderRow="1" firstDataRow="1" firstDataCol="1"/>
  <pivotFields count="12">
    <pivotField showAll="0"/>
    <pivotField axis="axisRow" showAll="0" measureFilter="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5">
        <item h="1" x="1"/>
        <item h="1" x="2"/>
        <item h="1" x="0"/>
        <item x="3"/>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7"/>
    </i>
    <i>
      <x v="18"/>
    </i>
    <i>
      <x v="19"/>
    </i>
    <i>
      <x v="52"/>
    </i>
    <i>
      <x v="55"/>
    </i>
  </rowItems>
  <colItems count="1">
    <i/>
  </colItems>
  <dataFields count="1">
    <dataField name="Total Sales " fld="8" baseField="1" baseItem="26"/>
  </dataFields>
  <formats count="8">
    <format dxfId="24">
      <pivotArea outline="0" collapsedLevelsAreSubtotals="1" fieldPosition="0"/>
    </format>
    <format dxfId="23">
      <pivotArea dataOnly="0" labelOnly="1" fieldPosition="0">
        <references count="1">
          <reference field="1" count="5">
            <x v="26"/>
            <x v="68"/>
            <x v="69"/>
            <x v="75"/>
            <x v="88"/>
          </reference>
        </references>
      </pivotArea>
    </format>
    <format dxfId="22">
      <pivotArea dataOnly="0" fieldPosition="0">
        <references count="1">
          <reference field="1" count="5">
            <x v="45"/>
            <x v="75"/>
            <x v="83"/>
            <x v="89"/>
            <x v="99"/>
          </reference>
        </references>
      </pivotArea>
    </format>
    <format dxfId="21">
      <pivotArea dataOnly="0" labelOnly="1" fieldPosition="0">
        <references count="1">
          <reference field="1" count="5">
            <x v="1"/>
            <x v="29"/>
            <x v="59"/>
            <x v="69"/>
            <x v="70"/>
          </reference>
        </references>
      </pivotArea>
    </format>
    <format dxfId="20">
      <pivotArea outline="0" collapsedLevelsAreSubtotals="1" fieldPosition="0"/>
    </format>
    <format dxfId="19">
      <pivotArea dataOnly="0" labelOnly="1" fieldPosition="0">
        <references count="1">
          <reference field="1" count="5">
            <x v="26"/>
            <x v="47"/>
            <x v="68"/>
            <x v="71"/>
            <x v="88"/>
          </reference>
        </references>
      </pivotArea>
    </format>
    <format dxfId="18">
      <pivotArea dataOnly="0" labelOnly="1" fieldPosition="0">
        <references count="1">
          <reference field="1" count="5">
            <x v="7"/>
            <x v="18"/>
            <x v="19"/>
            <x v="52"/>
            <x v="55"/>
          </reference>
        </references>
      </pivotArea>
    </format>
    <format dxfId="17">
      <pivotArea dataOnly="0" outline="0" axis="axisValues" fieldPosition="0"/>
    </format>
  </formats>
  <chartFormats count="2">
    <chartFormat chart="2"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61BB75-9AF7-4256-96C7-F0BD4E4E7B44}"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Top Performers">
  <location ref="A3:B8" firstHeaderRow="1" firstDataRow="1" firstDataCol="1"/>
  <pivotFields count="12">
    <pivotField showAll="0"/>
    <pivotField axis="axisRow" showAll="0" measureFilter="1">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items count="5">
        <item h="1" x="1"/>
        <item h="1" x="2"/>
        <item h="1" x="0"/>
        <item x="3"/>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1"/>
    </i>
    <i>
      <x v="39"/>
    </i>
    <i>
      <x v="63"/>
    </i>
    <i>
      <x v="80"/>
    </i>
    <i>
      <x v="81"/>
    </i>
  </rowItems>
  <colItems count="1">
    <i/>
  </colItems>
  <dataFields count="1">
    <dataField name="Total Sales " fld="8" baseField="1" baseItem="17"/>
  </dataFields>
  <formats count="5">
    <format dxfId="29">
      <pivotArea dataOnly="0" labelOnly="1" fieldPosition="0">
        <references count="1">
          <reference field="1" count="5">
            <x v="27"/>
            <x v="42"/>
            <x v="46"/>
            <x v="72"/>
            <x v="85"/>
          </reference>
        </references>
      </pivotArea>
    </format>
    <format dxfId="28">
      <pivotArea dataOnly="0" labelOnly="1" fieldPosition="0">
        <references count="1">
          <reference field="1" count="5">
            <x v="15"/>
            <x v="58"/>
            <x v="86"/>
            <x v="90"/>
            <x v="94"/>
          </reference>
        </references>
      </pivotArea>
    </format>
    <format dxfId="27">
      <pivotArea dataOnly="0" labelOnly="1" fieldPosition="0">
        <references count="1">
          <reference field="1" count="5">
            <x v="17"/>
            <x v="28"/>
            <x v="30"/>
            <x v="34"/>
            <x v="49"/>
          </reference>
        </references>
      </pivotArea>
    </format>
    <format dxfId="26">
      <pivotArea dataOnly="0" labelOnly="1" fieldPosition="0">
        <references count="1">
          <reference field="1" count="5">
            <x v="21"/>
            <x v="39"/>
            <x v="63"/>
            <x v="80"/>
            <x v="81"/>
          </reference>
        </references>
      </pivotArea>
    </format>
    <format dxfId="2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A99BA02-3502-475F-B4B6-DF12C10C5465}" name="PivotTable1" cacheId="0" dataOnRows="1" applyNumberFormats="0" applyBorderFormats="0" applyFontFormats="0" applyPatternFormats="0" applyAlignmentFormats="0" applyWidthHeightFormats="1" dataCaption="Total sales per day" updatedVersion="8" minRefreshableVersion="3" useAutoFormatting="1" itemPrintTitles="1" createdVersion="8" indent="0" outline="1" outlineData="1" multipleFieldFilters="0" chartFormat="5">
  <location ref="D19:E24" firstHeaderRow="1" firstDataRow="1" firstDataCol="1"/>
  <pivotFields count="12">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s>
  <rowFields count="1">
    <field x="-2"/>
  </rowFields>
  <rowItems count="5">
    <i>
      <x/>
    </i>
    <i i="1">
      <x v="1"/>
    </i>
    <i i="2">
      <x v="2"/>
    </i>
    <i i="3">
      <x v="3"/>
    </i>
    <i i="4">
      <x v="4"/>
    </i>
  </rowItems>
  <colItems count="1">
    <i/>
  </colItems>
  <dataFields count="5">
    <dataField name="Sales of Day1" fld="3" baseField="0" baseItem="0"/>
    <dataField name="Sales of Day2" fld="4" baseField="0" baseItem="0"/>
    <dataField name="Sales of Day3" fld="5" baseField="0" baseItem="0"/>
    <dataField name="Sales of Day4" fld="6" baseField="0" baseItem="0"/>
    <dataField name="Sales of Day5" fld="7" baseField="0" baseItem="0"/>
  </dataFields>
  <formats count="11">
    <format dxfId="40">
      <pivotArea field="-2" type="button" dataOnly="0" labelOnly="1" outline="0" axis="axisRow" fieldPosition="0"/>
    </format>
    <format dxfId="39">
      <pivotArea dataOnly="0" labelOnly="1" grandCol="1" outline="0" axis="axisCol" fieldPosition="0"/>
    </format>
    <format dxfId="38">
      <pivotArea field="-2" type="button" dataOnly="0" labelOnly="1" outline="0" axis="axisRow" fieldPosition="0"/>
    </format>
    <format dxfId="37">
      <pivotArea field="-2" type="button" dataOnly="0" labelOnly="1" outline="0" axis="axisRow" fieldPosition="0"/>
    </format>
    <format dxfId="36">
      <pivotArea outline="0" collapsedLevelsAreSubtotals="1" fieldPosition="0"/>
    </format>
    <format dxfId="35">
      <pivotArea dataOnly="0" labelOnly="1" outline="0" fieldPosition="0">
        <references count="1">
          <reference field="4294967294" count="5">
            <x v="0"/>
            <x v="1"/>
            <x v="2"/>
            <x v="3"/>
            <x v="4"/>
          </reference>
        </references>
      </pivotArea>
    </format>
    <format dxfId="34">
      <pivotArea outline="0" collapsedLevelsAreSubtotals="1" fieldPosition="0"/>
    </format>
    <format dxfId="33">
      <pivotArea dataOnly="0" labelOnly="1" outline="0" fieldPosition="0">
        <references count="1">
          <reference field="4294967294" count="5">
            <x v="0"/>
            <x v="1"/>
            <x v="2"/>
            <x v="3"/>
            <x v="4"/>
          </reference>
        </references>
      </pivotArea>
    </format>
    <format dxfId="32">
      <pivotArea dataOnly="0" labelOnly="1" outline="0" fieldPosition="0">
        <references count="1">
          <reference field="4294967294" count="1">
            <x v="0"/>
          </reference>
        </references>
      </pivotArea>
    </format>
    <format dxfId="31">
      <pivotArea dataOnly="0" labelOnly="1" outline="0" fieldPosition="0">
        <references count="1">
          <reference field="4294967294" count="4">
            <x v="1"/>
            <x v="2"/>
            <x v="3"/>
            <x v="4"/>
          </reference>
        </references>
      </pivotArea>
    </format>
    <format dxfId="3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C28776C-1B1C-490C-ADA4-19FA63C127C7}" sourceName="Region">
  <pivotTables>
    <pivotTable tabId="2" name="PivotTable2"/>
    <pivotTable tabId="2" name="PivotTable3"/>
    <pivotTable tabId="2" name="PivotTable4"/>
    <pivotTable tabId="2" name="PivotTable5"/>
  </pivotTables>
  <data>
    <tabular pivotCacheId="948675831">
      <items count="4">
        <i x="1"/>
        <i x="2"/>
        <i x="0"/>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904D4F2-EF15-4E20-A8F7-AEC8AC991F2D}" cache="Slicer_Region" caption="Region" columnCount="4" showCaption="0" style="Slicer Style 2"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ivotTable" Target="../pivotTables/pivotTable5.xml"/><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BE0FF-0D38-4FCD-92CF-BDE0205366A8}">
  <sheetPr codeName="Sheet1"/>
  <dimension ref="A1:K33"/>
  <sheetViews>
    <sheetView showGridLines="0" showRowColHeaders="0" tabSelected="1" zoomScale="110" zoomScaleNormal="110" workbookViewId="0">
      <selection activeCell="E30" sqref="E30"/>
    </sheetView>
  </sheetViews>
  <sheetFormatPr defaultRowHeight="14.5" x14ac:dyDescent="0.35"/>
  <cols>
    <col min="1" max="1" width="23.6328125" customWidth="1"/>
    <col min="2" max="2" width="13.90625" customWidth="1"/>
    <col min="3" max="3" width="1.08984375" customWidth="1"/>
    <col min="4" max="4" width="23.7265625" customWidth="1"/>
    <col min="5" max="5" width="13.90625" customWidth="1"/>
    <col min="6" max="6" width="1" customWidth="1"/>
    <col min="7" max="7" width="23.7265625" customWidth="1"/>
    <col min="8" max="8" width="13.90625" customWidth="1"/>
    <col min="9" max="9" width="1" customWidth="1"/>
    <col min="10" max="10" width="23.6328125" customWidth="1"/>
    <col min="11" max="11" width="16" customWidth="1"/>
  </cols>
  <sheetData>
    <row r="1" spans="1:11" ht="32.5" customHeight="1" x14ac:dyDescent="0.35">
      <c r="A1" s="3" t="b">
        <v>1</v>
      </c>
      <c r="B1" s="3"/>
      <c r="C1" s="3"/>
      <c r="D1" s="3" t="b">
        <v>1</v>
      </c>
      <c r="E1" s="3"/>
      <c r="F1" s="3"/>
      <c r="G1" s="3" t="b">
        <v>1</v>
      </c>
      <c r="H1" s="3"/>
      <c r="I1" s="3"/>
      <c r="J1" s="3" t="b">
        <v>1</v>
      </c>
      <c r="K1" s="3"/>
    </row>
    <row r="2" spans="1:11" ht="35.5" customHeight="1" x14ac:dyDescent="0.35">
      <c r="A2" s="3"/>
      <c r="B2" s="3"/>
      <c r="C2" s="3"/>
      <c r="D2" s="3"/>
      <c r="E2" s="3"/>
      <c r="F2" s="3"/>
      <c r="G2" s="3"/>
      <c r="H2" s="3"/>
      <c r="I2" s="3"/>
      <c r="J2" s="3"/>
      <c r="K2" s="3"/>
    </row>
    <row r="3" spans="1:11" x14ac:dyDescent="0.35">
      <c r="A3" s="2" t="s">
        <v>225</v>
      </c>
      <c r="B3" s="8" t="s">
        <v>216</v>
      </c>
      <c r="C3" s="3"/>
      <c r="D3" s="2" t="s">
        <v>226</v>
      </c>
      <c r="E3" s="8" t="s">
        <v>216</v>
      </c>
      <c r="F3" s="3"/>
      <c r="G3" s="9" t="s">
        <v>228</v>
      </c>
      <c r="H3" s="10" t="s">
        <v>217</v>
      </c>
      <c r="I3" s="3"/>
      <c r="J3" s="9" t="s">
        <v>229</v>
      </c>
      <c r="K3" s="18" t="s">
        <v>218</v>
      </c>
    </row>
    <row r="4" spans="1:11" x14ac:dyDescent="0.35">
      <c r="A4" s="6" t="s">
        <v>133</v>
      </c>
      <c r="B4">
        <v>18002</v>
      </c>
      <c r="C4" s="3"/>
      <c r="D4" s="4" t="s">
        <v>119</v>
      </c>
      <c r="E4" s="15">
        <v>10840</v>
      </c>
      <c r="F4" s="3"/>
      <c r="G4" s="7" t="s">
        <v>132</v>
      </c>
      <c r="H4">
        <v>100.43</v>
      </c>
      <c r="I4" s="3"/>
      <c r="J4" s="5" t="s">
        <v>119</v>
      </c>
      <c r="K4" s="16">
        <v>34.32</v>
      </c>
    </row>
    <row r="5" spans="1:11" x14ac:dyDescent="0.35">
      <c r="A5" s="6" t="s">
        <v>151</v>
      </c>
      <c r="B5">
        <v>17243</v>
      </c>
      <c r="C5" s="3"/>
      <c r="D5" s="4" t="s">
        <v>130</v>
      </c>
      <c r="E5" s="15">
        <v>12168</v>
      </c>
      <c r="F5" s="3"/>
      <c r="G5" s="7" t="s">
        <v>151</v>
      </c>
      <c r="H5">
        <v>98.97</v>
      </c>
      <c r="I5" s="3"/>
      <c r="J5" s="5" t="s">
        <v>130</v>
      </c>
      <c r="K5" s="16">
        <v>30.12</v>
      </c>
    </row>
    <row r="6" spans="1:11" x14ac:dyDescent="0.35">
      <c r="A6" s="6" t="s">
        <v>175</v>
      </c>
      <c r="B6">
        <v>17998</v>
      </c>
      <c r="C6" s="3"/>
      <c r="D6" s="4" t="s">
        <v>131</v>
      </c>
      <c r="E6" s="15">
        <v>11206</v>
      </c>
      <c r="F6" s="3"/>
      <c r="G6" s="7" t="s">
        <v>160</v>
      </c>
      <c r="H6">
        <v>100.06</v>
      </c>
      <c r="I6" s="3"/>
      <c r="J6" s="5" t="s">
        <v>131</v>
      </c>
      <c r="K6" s="16">
        <v>42.54</v>
      </c>
    </row>
    <row r="7" spans="1:11" x14ac:dyDescent="0.35">
      <c r="A7" s="6" t="s">
        <v>192</v>
      </c>
      <c r="B7">
        <v>16402</v>
      </c>
      <c r="C7" s="3"/>
      <c r="D7" s="4" t="s">
        <v>164</v>
      </c>
      <c r="E7" s="15">
        <v>13156</v>
      </c>
      <c r="F7" s="3"/>
      <c r="G7" s="7" t="s">
        <v>175</v>
      </c>
      <c r="H7">
        <v>107.69</v>
      </c>
      <c r="I7" s="3"/>
      <c r="J7" s="5" t="s">
        <v>163</v>
      </c>
      <c r="K7" s="16">
        <v>28.17</v>
      </c>
    </row>
    <row r="8" spans="1:11" x14ac:dyDescent="0.35">
      <c r="A8" s="6" t="s">
        <v>193</v>
      </c>
      <c r="B8">
        <v>16454</v>
      </c>
      <c r="C8" s="3"/>
      <c r="D8" s="4" t="s">
        <v>167</v>
      </c>
      <c r="E8" s="15">
        <v>13540</v>
      </c>
      <c r="F8" s="3"/>
      <c r="G8" s="7" t="s">
        <v>176</v>
      </c>
      <c r="H8">
        <v>101.97</v>
      </c>
      <c r="I8" s="3"/>
      <c r="J8" s="5" t="s">
        <v>167</v>
      </c>
      <c r="K8" s="16">
        <v>30.95</v>
      </c>
    </row>
    <row r="9" spans="1:11" x14ac:dyDescent="0.35">
      <c r="A9" s="3"/>
      <c r="B9" s="3"/>
      <c r="C9" s="3"/>
      <c r="D9" s="3"/>
      <c r="E9" s="3"/>
      <c r="F9" s="3"/>
      <c r="G9" s="3"/>
      <c r="H9" s="3"/>
      <c r="I9" s="3"/>
      <c r="J9" s="3"/>
      <c r="K9" s="3"/>
    </row>
    <row r="10" spans="1:11" x14ac:dyDescent="0.35">
      <c r="A10" s="3"/>
      <c r="B10" s="3"/>
      <c r="C10" s="3"/>
      <c r="D10" s="3"/>
      <c r="E10" s="3"/>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3"/>
      <c r="C13" s="3"/>
      <c r="D13" s="3"/>
      <c r="E13" s="3"/>
      <c r="F13" s="3"/>
      <c r="G13" s="3"/>
      <c r="H13" s="3"/>
      <c r="I13" s="3"/>
      <c r="J13" s="3"/>
      <c r="K13" s="3"/>
    </row>
    <row r="14" spans="1:11" x14ac:dyDescent="0.35">
      <c r="A14" s="3"/>
      <c r="B14" s="3"/>
      <c r="C14" s="3"/>
      <c r="D14" s="3"/>
      <c r="E14" s="3"/>
      <c r="F14" s="3"/>
      <c r="G14" s="3"/>
      <c r="H14" s="3"/>
      <c r="I14" s="3"/>
      <c r="J14" s="3"/>
      <c r="K14" s="3"/>
    </row>
    <row r="15" spans="1:11" x14ac:dyDescent="0.35">
      <c r="A15" s="3"/>
      <c r="B15" s="3"/>
      <c r="C15" s="3"/>
      <c r="D15" s="3"/>
      <c r="E15" s="3"/>
      <c r="F15" s="3"/>
      <c r="G15" s="3"/>
      <c r="H15" s="3"/>
      <c r="I15" s="3"/>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ht="5" customHeight="1" x14ac:dyDescent="0.35">
      <c r="A18" s="3"/>
      <c r="B18" s="3"/>
      <c r="C18" s="3"/>
      <c r="D18" s="3"/>
      <c r="E18" s="3"/>
      <c r="F18" s="3"/>
      <c r="G18" s="3"/>
      <c r="H18" s="3"/>
      <c r="I18" s="3"/>
      <c r="J18" s="3"/>
      <c r="K18" s="3"/>
    </row>
    <row r="19" spans="1:11" ht="18.5" x14ac:dyDescent="0.45">
      <c r="A19" s="17" t="s">
        <v>227</v>
      </c>
      <c r="B19" s="14" t="s">
        <v>2</v>
      </c>
      <c r="C19" s="3"/>
      <c r="D19" s="11" t="s">
        <v>219</v>
      </c>
      <c r="E19" s="9"/>
      <c r="F19" s="3"/>
      <c r="G19" s="3"/>
      <c r="H19" s="3"/>
      <c r="I19" s="3"/>
      <c r="J19" s="3"/>
      <c r="K19" s="3"/>
    </row>
    <row r="20" spans="1:11" ht="22" customHeight="1" x14ac:dyDescent="0.35">
      <c r="A20" s="3"/>
      <c r="B20" s="3"/>
      <c r="C20" s="3"/>
      <c r="D20" s="12" t="s">
        <v>220</v>
      </c>
      <c r="E20" s="13">
        <v>295180</v>
      </c>
      <c r="F20" s="3"/>
      <c r="G20" s="3"/>
      <c r="H20" s="3"/>
      <c r="I20" s="3"/>
      <c r="J20" s="3"/>
      <c r="K20" s="3"/>
    </row>
    <row r="21" spans="1:11" ht="23" customHeight="1" x14ac:dyDescent="0.35">
      <c r="A21" s="3"/>
      <c r="B21" s="3"/>
      <c r="C21" s="3"/>
      <c r="D21" s="12" t="s">
        <v>221</v>
      </c>
      <c r="E21" s="13">
        <v>303878</v>
      </c>
      <c r="F21" s="3"/>
      <c r="G21" s="3"/>
      <c r="H21" s="3"/>
      <c r="I21" s="3"/>
      <c r="J21" s="3"/>
      <c r="K21" s="3"/>
    </row>
    <row r="22" spans="1:11" ht="22" customHeight="1" x14ac:dyDescent="0.35">
      <c r="A22" s="3"/>
      <c r="B22" s="3"/>
      <c r="C22" s="3"/>
      <c r="D22" s="12" t="s">
        <v>222</v>
      </c>
      <c r="E22" s="13">
        <v>304646</v>
      </c>
      <c r="F22" s="3"/>
      <c r="G22" s="3"/>
      <c r="H22" s="3"/>
      <c r="I22" s="3"/>
      <c r="J22" s="3"/>
      <c r="K22" s="3"/>
    </row>
    <row r="23" spans="1:11" ht="22" customHeight="1" x14ac:dyDescent="0.35">
      <c r="A23" s="3"/>
      <c r="B23" s="3"/>
      <c r="C23" s="3"/>
      <c r="D23" s="12" t="s">
        <v>223</v>
      </c>
      <c r="E23" s="13">
        <v>290313</v>
      </c>
      <c r="F23" s="3"/>
      <c r="G23" s="3"/>
      <c r="H23" s="3"/>
      <c r="I23" s="3"/>
      <c r="J23" s="3"/>
      <c r="K23" s="3"/>
    </row>
    <row r="24" spans="1:11" ht="22" customHeight="1" x14ac:dyDescent="0.35">
      <c r="A24" s="3"/>
      <c r="B24" s="3"/>
      <c r="C24" s="3"/>
      <c r="D24" s="12" t="s">
        <v>224</v>
      </c>
      <c r="E24" s="13">
        <v>287603</v>
      </c>
      <c r="F24" s="3"/>
      <c r="G24" s="3"/>
      <c r="H24" s="3"/>
      <c r="I24" s="3"/>
      <c r="J24" s="3"/>
      <c r="K24" s="3"/>
    </row>
    <row r="25" spans="1:11" x14ac:dyDescent="0.35">
      <c r="A25" s="3"/>
      <c r="B25" s="3"/>
      <c r="C25" s="3"/>
      <c r="D25" s="3"/>
      <c r="E25" s="3"/>
      <c r="F25" s="3"/>
      <c r="G25" s="3"/>
      <c r="H25" s="3"/>
      <c r="I25" s="3"/>
      <c r="J25" s="3"/>
      <c r="K25" s="3"/>
    </row>
    <row r="26" spans="1:11" x14ac:dyDescent="0.35">
      <c r="A26" s="3"/>
      <c r="B26" s="3"/>
      <c r="C26" s="3"/>
      <c r="D26" s="3"/>
      <c r="E26" s="3"/>
      <c r="F26" s="3"/>
      <c r="G26" s="3"/>
      <c r="H26" s="3"/>
      <c r="I26" s="3"/>
      <c r="J26" s="3"/>
      <c r="K26" s="3"/>
    </row>
    <row r="27" spans="1:11" x14ac:dyDescent="0.35">
      <c r="A27" s="3"/>
      <c r="B27" s="3"/>
      <c r="C27" s="3"/>
      <c r="D27" s="3"/>
      <c r="E27" s="3"/>
      <c r="F27" s="3"/>
      <c r="G27" s="3"/>
      <c r="H27" s="3"/>
      <c r="I27" s="3"/>
      <c r="J27" s="3"/>
      <c r="K27" s="3"/>
    </row>
    <row r="28" spans="1:11" x14ac:dyDescent="0.35">
      <c r="A28" s="3"/>
      <c r="B28" s="3"/>
      <c r="C28" s="3"/>
      <c r="D28" s="3"/>
      <c r="E28" s="3"/>
      <c r="F28" s="3"/>
      <c r="G28" s="3"/>
      <c r="H28" s="3"/>
      <c r="I28" s="3"/>
      <c r="J28" s="3"/>
      <c r="K28" s="3"/>
    </row>
    <row r="29" spans="1:11" x14ac:dyDescent="0.35">
      <c r="A29" s="3"/>
      <c r="B29" s="3"/>
      <c r="C29" s="3"/>
      <c r="D29" s="3"/>
      <c r="E29" s="3"/>
      <c r="F29" s="3"/>
      <c r="G29" s="3"/>
      <c r="H29" s="3"/>
      <c r="I29" s="3"/>
      <c r="J29" s="3"/>
      <c r="K29" s="3"/>
    </row>
    <row r="30" spans="1:11" x14ac:dyDescent="0.35">
      <c r="A30" s="3"/>
      <c r="B30" s="3"/>
      <c r="C30" s="3"/>
      <c r="D30" s="3"/>
      <c r="E30" s="3"/>
      <c r="F30" s="3"/>
      <c r="G30" s="3"/>
      <c r="H30" s="3"/>
      <c r="I30" s="3"/>
      <c r="J30" s="3"/>
      <c r="K30" s="3"/>
    </row>
    <row r="31" spans="1:11" x14ac:dyDescent="0.35">
      <c r="A31" s="3"/>
      <c r="B31" s="3"/>
      <c r="C31" s="3"/>
      <c r="D31" s="3"/>
      <c r="E31" s="3"/>
      <c r="F31" s="3"/>
      <c r="G31" s="3"/>
      <c r="H31" s="3"/>
      <c r="I31" s="3"/>
      <c r="J31" s="3"/>
      <c r="K31" s="3"/>
    </row>
    <row r="32" spans="1:11" x14ac:dyDescent="0.35">
      <c r="A32" s="3"/>
      <c r="B32" s="3"/>
      <c r="C32" s="3"/>
      <c r="D32" s="3"/>
      <c r="E32" s="3"/>
      <c r="F32" s="3"/>
      <c r="G32" s="3"/>
      <c r="H32" s="3"/>
      <c r="I32" s="3"/>
      <c r="J32" s="3"/>
      <c r="K32" s="3"/>
    </row>
    <row r="33" spans="1:11" x14ac:dyDescent="0.35">
      <c r="A33" s="3"/>
      <c r="B33" s="3"/>
      <c r="C33" s="3"/>
      <c r="D33" s="3"/>
      <c r="E33" s="3"/>
      <c r="F33" s="3"/>
      <c r="G33" s="3"/>
      <c r="H33" s="3"/>
      <c r="I33" s="3"/>
      <c r="J33" s="3"/>
      <c r="K33" s="3"/>
    </row>
  </sheetData>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635000</xdr:colOff>
                    <xdr:row>1</xdr:row>
                    <xdr:rowOff>101600</xdr:rowOff>
                  </from>
                  <to>
                    <xdr:col>0</xdr:col>
                    <xdr:colOff>1384300</xdr:colOff>
                    <xdr:row>1</xdr:row>
                    <xdr:rowOff>400050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558800</xdr:colOff>
                    <xdr:row>1</xdr:row>
                    <xdr:rowOff>95250</xdr:rowOff>
                  </from>
                  <to>
                    <xdr:col>3</xdr:col>
                    <xdr:colOff>1308100</xdr:colOff>
                    <xdr:row>1</xdr:row>
                    <xdr:rowOff>393700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546100</xdr:colOff>
                    <xdr:row>1</xdr:row>
                    <xdr:rowOff>88900</xdr:rowOff>
                  </from>
                  <to>
                    <xdr:col>6</xdr:col>
                    <xdr:colOff>1295400</xdr:colOff>
                    <xdr:row>1</xdr:row>
                    <xdr:rowOff>387350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704850</xdr:colOff>
                    <xdr:row>1</xdr:row>
                    <xdr:rowOff>88900</xdr:rowOff>
                  </from>
                  <to>
                    <xdr:col>9</xdr:col>
                    <xdr:colOff>1454150</xdr:colOff>
                    <xdr:row>1</xdr:row>
                    <xdr:rowOff>387350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01"/>
  <sheetViews>
    <sheetView workbookViewId="0">
      <selection activeCell="O17" sqref="O17"/>
    </sheetView>
  </sheetViews>
  <sheetFormatPr defaultRowHeight="14.5" x14ac:dyDescent="0.35"/>
  <cols>
    <col min="1" max="1" width="9.26953125" bestFit="1" customWidth="1"/>
    <col min="2" max="2" width="13.453125" bestFit="1" customWidth="1"/>
    <col min="8" max="8" width="8" customWidth="1"/>
    <col min="9" max="9" width="10.453125" customWidth="1"/>
    <col min="10" max="10" width="10" customWidth="1"/>
    <col min="11" max="11" width="11" bestFit="1" customWidth="1"/>
    <col min="12" max="12" width="17.816406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t="s">
        <v>12</v>
      </c>
      <c r="B2" t="s">
        <v>112</v>
      </c>
      <c r="C2" t="s">
        <v>212</v>
      </c>
      <c r="D2">
        <v>1353</v>
      </c>
      <c r="E2">
        <v>4587</v>
      </c>
      <c r="F2">
        <v>2149</v>
      </c>
      <c r="G2">
        <v>3385</v>
      </c>
      <c r="H2">
        <v>4442</v>
      </c>
      <c r="I2">
        <v>15916</v>
      </c>
      <c r="J2">
        <v>16304</v>
      </c>
      <c r="K2">
        <v>97.62</v>
      </c>
      <c r="L2">
        <v>2.38</v>
      </c>
    </row>
    <row r="3" spans="1:12" x14ac:dyDescent="0.35">
      <c r="A3" t="s">
        <v>13</v>
      </c>
      <c r="B3" t="s">
        <v>113</v>
      </c>
      <c r="C3" t="s">
        <v>213</v>
      </c>
      <c r="D3">
        <v>2715</v>
      </c>
      <c r="E3">
        <v>3293</v>
      </c>
      <c r="F3">
        <v>4002</v>
      </c>
      <c r="G3">
        <v>1093</v>
      </c>
      <c r="H3">
        <v>1614</v>
      </c>
      <c r="I3">
        <v>12717</v>
      </c>
      <c r="J3">
        <v>15144</v>
      </c>
      <c r="K3">
        <v>83.97</v>
      </c>
      <c r="L3">
        <v>16.03</v>
      </c>
    </row>
    <row r="4" spans="1:12" x14ac:dyDescent="0.35">
      <c r="A4" t="s">
        <v>14</v>
      </c>
      <c r="B4" t="s">
        <v>114</v>
      </c>
      <c r="C4" t="s">
        <v>214</v>
      </c>
      <c r="D4">
        <v>1206</v>
      </c>
      <c r="E4">
        <v>3256</v>
      </c>
      <c r="F4">
        <v>1659</v>
      </c>
      <c r="G4">
        <v>3211</v>
      </c>
      <c r="H4">
        <v>4891</v>
      </c>
      <c r="I4">
        <v>14223</v>
      </c>
      <c r="J4">
        <v>17602</v>
      </c>
      <c r="K4">
        <v>80.8</v>
      </c>
      <c r="L4">
        <v>19.2</v>
      </c>
    </row>
    <row r="5" spans="1:12" x14ac:dyDescent="0.35">
      <c r="A5" t="s">
        <v>15</v>
      </c>
      <c r="B5" t="s">
        <v>115</v>
      </c>
      <c r="C5" t="s">
        <v>212</v>
      </c>
      <c r="D5">
        <v>1596</v>
      </c>
      <c r="E5">
        <v>4501</v>
      </c>
      <c r="F5">
        <v>3451</v>
      </c>
      <c r="G5">
        <v>3431</v>
      </c>
      <c r="H5">
        <v>3426</v>
      </c>
      <c r="I5">
        <v>16405</v>
      </c>
      <c r="J5">
        <v>17492</v>
      </c>
      <c r="K5">
        <v>93.79</v>
      </c>
      <c r="L5">
        <v>6.21</v>
      </c>
    </row>
    <row r="6" spans="1:12" x14ac:dyDescent="0.35">
      <c r="A6" t="s">
        <v>16</v>
      </c>
      <c r="B6" t="s">
        <v>116</v>
      </c>
      <c r="C6" t="s">
        <v>214</v>
      </c>
      <c r="D6">
        <v>1153</v>
      </c>
      <c r="E6">
        <v>2281</v>
      </c>
      <c r="F6">
        <v>4743</v>
      </c>
      <c r="G6">
        <v>3957</v>
      </c>
      <c r="H6">
        <v>3695</v>
      </c>
      <c r="I6">
        <v>15829</v>
      </c>
      <c r="J6">
        <v>15952</v>
      </c>
      <c r="K6">
        <v>99.23</v>
      </c>
      <c r="L6">
        <v>0.77</v>
      </c>
    </row>
    <row r="7" spans="1:12" x14ac:dyDescent="0.35">
      <c r="A7" t="s">
        <v>17</v>
      </c>
      <c r="B7" t="s">
        <v>117</v>
      </c>
      <c r="C7" t="s">
        <v>215</v>
      </c>
      <c r="D7">
        <v>4250</v>
      </c>
      <c r="E7">
        <v>1253</v>
      </c>
      <c r="F7">
        <v>3882</v>
      </c>
      <c r="G7">
        <v>3799</v>
      </c>
      <c r="H7">
        <v>1119</v>
      </c>
      <c r="I7">
        <v>14303</v>
      </c>
      <c r="J7">
        <v>19117</v>
      </c>
      <c r="K7">
        <v>74.819999999999993</v>
      </c>
      <c r="L7">
        <v>25.18</v>
      </c>
    </row>
    <row r="8" spans="1:12" x14ac:dyDescent="0.35">
      <c r="A8" t="s">
        <v>18</v>
      </c>
      <c r="B8" t="s">
        <v>118</v>
      </c>
      <c r="C8" t="s">
        <v>215</v>
      </c>
      <c r="D8">
        <v>3911</v>
      </c>
      <c r="E8">
        <v>2868</v>
      </c>
      <c r="F8">
        <v>4533</v>
      </c>
      <c r="G8">
        <v>1092</v>
      </c>
      <c r="H8">
        <v>2037</v>
      </c>
      <c r="I8">
        <v>14441</v>
      </c>
      <c r="J8">
        <v>15072</v>
      </c>
      <c r="K8">
        <v>95.81</v>
      </c>
      <c r="L8">
        <v>4.1900000000000004</v>
      </c>
    </row>
    <row r="9" spans="1:12" x14ac:dyDescent="0.35">
      <c r="A9" t="s">
        <v>19</v>
      </c>
      <c r="B9" t="s">
        <v>119</v>
      </c>
      <c r="C9" t="s">
        <v>215</v>
      </c>
      <c r="D9">
        <v>3411</v>
      </c>
      <c r="E9">
        <v>2033</v>
      </c>
      <c r="F9">
        <v>1691</v>
      </c>
      <c r="G9">
        <v>1003</v>
      </c>
      <c r="H9">
        <v>2702</v>
      </c>
      <c r="I9">
        <v>10840</v>
      </c>
      <c r="J9">
        <v>16504</v>
      </c>
      <c r="K9">
        <v>65.680000000000007</v>
      </c>
      <c r="L9">
        <v>34.32</v>
      </c>
    </row>
    <row r="10" spans="1:12" x14ac:dyDescent="0.35">
      <c r="A10" t="s">
        <v>20</v>
      </c>
      <c r="B10" t="s">
        <v>120</v>
      </c>
      <c r="C10" t="s">
        <v>214</v>
      </c>
      <c r="D10">
        <v>2195</v>
      </c>
      <c r="E10">
        <v>4162</v>
      </c>
      <c r="F10">
        <v>4882</v>
      </c>
      <c r="G10">
        <v>2139</v>
      </c>
      <c r="H10">
        <v>1566</v>
      </c>
      <c r="I10">
        <v>14944</v>
      </c>
      <c r="J10">
        <v>17378</v>
      </c>
      <c r="K10">
        <v>85.99</v>
      </c>
      <c r="L10">
        <v>14.01</v>
      </c>
    </row>
    <row r="11" spans="1:12" x14ac:dyDescent="0.35">
      <c r="A11" t="s">
        <v>21</v>
      </c>
      <c r="B11" t="s">
        <v>121</v>
      </c>
      <c r="C11" t="s">
        <v>212</v>
      </c>
      <c r="D11">
        <v>4947</v>
      </c>
      <c r="E11">
        <v>2336</v>
      </c>
      <c r="F11">
        <v>1530</v>
      </c>
      <c r="G11">
        <v>2800</v>
      </c>
      <c r="H11">
        <v>4269</v>
      </c>
      <c r="I11">
        <v>15882</v>
      </c>
      <c r="J11">
        <v>16816</v>
      </c>
      <c r="K11">
        <v>94.45</v>
      </c>
      <c r="L11">
        <v>5.55</v>
      </c>
    </row>
    <row r="12" spans="1:12" x14ac:dyDescent="0.35">
      <c r="A12" t="s">
        <v>22</v>
      </c>
      <c r="B12" t="s">
        <v>122</v>
      </c>
      <c r="C12" t="s">
        <v>213</v>
      </c>
      <c r="D12">
        <v>4715</v>
      </c>
      <c r="E12">
        <v>4567</v>
      </c>
      <c r="F12">
        <v>1831</v>
      </c>
      <c r="G12">
        <v>3210</v>
      </c>
      <c r="H12">
        <v>1630</v>
      </c>
      <c r="I12">
        <v>15953</v>
      </c>
      <c r="J12">
        <v>19226</v>
      </c>
      <c r="K12">
        <v>82.98</v>
      </c>
      <c r="L12">
        <v>17.02</v>
      </c>
    </row>
    <row r="13" spans="1:12" x14ac:dyDescent="0.35">
      <c r="A13" t="s">
        <v>23</v>
      </c>
      <c r="B13" t="s">
        <v>123</v>
      </c>
      <c r="C13" t="s">
        <v>212</v>
      </c>
      <c r="D13">
        <v>1632</v>
      </c>
      <c r="E13">
        <v>2217</v>
      </c>
      <c r="F13">
        <v>1481</v>
      </c>
      <c r="G13">
        <v>1263</v>
      </c>
      <c r="H13">
        <v>4815</v>
      </c>
      <c r="I13">
        <v>11408</v>
      </c>
      <c r="J13">
        <v>19940</v>
      </c>
      <c r="K13">
        <v>57.21</v>
      </c>
      <c r="L13">
        <v>42.79</v>
      </c>
    </row>
    <row r="14" spans="1:12" x14ac:dyDescent="0.35">
      <c r="A14" t="s">
        <v>24</v>
      </c>
      <c r="B14" t="s">
        <v>124</v>
      </c>
      <c r="C14" t="s">
        <v>212</v>
      </c>
      <c r="D14">
        <v>3283</v>
      </c>
      <c r="E14">
        <v>4724</v>
      </c>
      <c r="F14">
        <v>3990</v>
      </c>
      <c r="G14">
        <v>1049</v>
      </c>
      <c r="H14">
        <v>2074</v>
      </c>
      <c r="I14">
        <v>15120</v>
      </c>
      <c r="J14">
        <v>17233</v>
      </c>
      <c r="K14">
        <v>87.74</v>
      </c>
      <c r="L14">
        <v>12.26</v>
      </c>
    </row>
    <row r="15" spans="1:12" x14ac:dyDescent="0.35">
      <c r="A15" t="s">
        <v>25</v>
      </c>
      <c r="B15" t="s">
        <v>125</v>
      </c>
      <c r="C15" t="s">
        <v>214</v>
      </c>
      <c r="D15">
        <v>1165</v>
      </c>
      <c r="E15">
        <v>2026</v>
      </c>
      <c r="F15">
        <v>4879</v>
      </c>
      <c r="G15">
        <v>4618</v>
      </c>
      <c r="H15">
        <v>2301</v>
      </c>
      <c r="I15">
        <v>14989</v>
      </c>
      <c r="J15">
        <v>16190</v>
      </c>
      <c r="K15">
        <v>92.58</v>
      </c>
      <c r="L15">
        <v>7.42</v>
      </c>
    </row>
    <row r="16" spans="1:12" x14ac:dyDescent="0.35">
      <c r="A16" t="s">
        <v>26</v>
      </c>
      <c r="B16" t="s">
        <v>126</v>
      </c>
      <c r="C16" t="s">
        <v>215</v>
      </c>
      <c r="D16">
        <v>2642</v>
      </c>
      <c r="E16">
        <v>4454</v>
      </c>
      <c r="F16">
        <v>3541</v>
      </c>
      <c r="G16">
        <v>2440</v>
      </c>
      <c r="H16">
        <v>2064</v>
      </c>
      <c r="I16">
        <v>15141</v>
      </c>
      <c r="J16">
        <v>19083</v>
      </c>
      <c r="K16">
        <v>79.34</v>
      </c>
      <c r="L16">
        <v>20.66</v>
      </c>
    </row>
    <row r="17" spans="1:12" x14ac:dyDescent="0.35">
      <c r="A17" t="s">
        <v>27</v>
      </c>
      <c r="B17" t="s">
        <v>127</v>
      </c>
      <c r="C17" t="s">
        <v>214</v>
      </c>
      <c r="D17">
        <v>4607</v>
      </c>
      <c r="E17">
        <v>3398</v>
      </c>
      <c r="F17">
        <v>2175</v>
      </c>
      <c r="G17">
        <v>3313</v>
      </c>
      <c r="H17">
        <v>3637</v>
      </c>
      <c r="I17">
        <v>17130</v>
      </c>
      <c r="J17">
        <v>18510</v>
      </c>
      <c r="K17">
        <v>92.54</v>
      </c>
      <c r="L17">
        <v>7.46</v>
      </c>
    </row>
    <row r="18" spans="1:12" x14ac:dyDescent="0.35">
      <c r="A18" t="s">
        <v>28</v>
      </c>
      <c r="B18" t="s">
        <v>128</v>
      </c>
      <c r="C18" t="s">
        <v>213</v>
      </c>
      <c r="D18">
        <v>4062</v>
      </c>
      <c r="E18">
        <v>2425</v>
      </c>
      <c r="F18">
        <v>3810</v>
      </c>
      <c r="G18">
        <v>4661</v>
      </c>
      <c r="H18">
        <v>1823</v>
      </c>
      <c r="I18">
        <v>16781</v>
      </c>
      <c r="J18">
        <v>16236</v>
      </c>
      <c r="K18">
        <v>103.36</v>
      </c>
      <c r="L18">
        <v>-3.36</v>
      </c>
    </row>
    <row r="19" spans="1:12" x14ac:dyDescent="0.35">
      <c r="A19" t="s">
        <v>29</v>
      </c>
      <c r="B19" t="s">
        <v>129</v>
      </c>
      <c r="C19" t="s">
        <v>212</v>
      </c>
      <c r="D19">
        <v>4822</v>
      </c>
      <c r="E19">
        <v>4341</v>
      </c>
      <c r="F19">
        <v>4948</v>
      </c>
      <c r="G19">
        <v>3304</v>
      </c>
      <c r="H19">
        <v>1307</v>
      </c>
      <c r="I19">
        <v>18722</v>
      </c>
      <c r="J19">
        <v>19574</v>
      </c>
      <c r="K19">
        <v>95.65</v>
      </c>
      <c r="L19">
        <v>4.3499999999999996</v>
      </c>
    </row>
    <row r="20" spans="1:12" x14ac:dyDescent="0.35">
      <c r="A20" t="s">
        <v>30</v>
      </c>
      <c r="B20" t="s">
        <v>130</v>
      </c>
      <c r="C20" t="s">
        <v>215</v>
      </c>
      <c r="D20">
        <v>2120</v>
      </c>
      <c r="E20">
        <v>1442</v>
      </c>
      <c r="F20">
        <v>3295</v>
      </c>
      <c r="G20">
        <v>1188</v>
      </c>
      <c r="H20">
        <v>4123</v>
      </c>
      <c r="I20">
        <v>12168</v>
      </c>
      <c r="J20">
        <v>17412</v>
      </c>
      <c r="K20">
        <v>69.88</v>
      </c>
      <c r="L20">
        <v>30.12</v>
      </c>
    </row>
    <row r="21" spans="1:12" x14ac:dyDescent="0.35">
      <c r="A21" t="s">
        <v>31</v>
      </c>
      <c r="B21" t="s">
        <v>131</v>
      </c>
      <c r="C21" t="s">
        <v>215</v>
      </c>
      <c r="D21">
        <v>4368</v>
      </c>
      <c r="E21">
        <v>1938</v>
      </c>
      <c r="F21">
        <v>1424</v>
      </c>
      <c r="G21">
        <v>1664</v>
      </c>
      <c r="H21">
        <v>1812</v>
      </c>
      <c r="I21">
        <v>11206</v>
      </c>
      <c r="J21">
        <v>19502</v>
      </c>
      <c r="K21">
        <v>57.46</v>
      </c>
      <c r="L21">
        <v>42.54</v>
      </c>
    </row>
    <row r="22" spans="1:12" x14ac:dyDescent="0.35">
      <c r="A22" t="s">
        <v>32</v>
      </c>
      <c r="B22" t="s">
        <v>132</v>
      </c>
      <c r="C22" t="s">
        <v>215</v>
      </c>
      <c r="D22">
        <v>1697</v>
      </c>
      <c r="E22">
        <v>1647</v>
      </c>
      <c r="F22">
        <v>3353</v>
      </c>
      <c r="G22">
        <v>4375</v>
      </c>
      <c r="H22">
        <v>3997</v>
      </c>
      <c r="I22">
        <v>15069</v>
      </c>
      <c r="J22">
        <v>15004</v>
      </c>
      <c r="K22">
        <v>100.43</v>
      </c>
      <c r="L22">
        <v>-0.43</v>
      </c>
    </row>
    <row r="23" spans="1:12" x14ac:dyDescent="0.35">
      <c r="A23" t="s">
        <v>33</v>
      </c>
      <c r="B23" t="s">
        <v>133</v>
      </c>
      <c r="C23" t="s">
        <v>215</v>
      </c>
      <c r="D23">
        <v>2303</v>
      </c>
      <c r="E23">
        <v>4770</v>
      </c>
      <c r="F23">
        <v>3098</v>
      </c>
      <c r="G23">
        <v>4822</v>
      </c>
      <c r="H23">
        <v>3009</v>
      </c>
      <c r="I23">
        <v>18002</v>
      </c>
      <c r="J23">
        <v>19985</v>
      </c>
      <c r="K23">
        <v>90.08</v>
      </c>
      <c r="L23">
        <v>9.92</v>
      </c>
    </row>
    <row r="24" spans="1:12" x14ac:dyDescent="0.35">
      <c r="A24" t="s">
        <v>34</v>
      </c>
      <c r="B24" t="s">
        <v>134</v>
      </c>
      <c r="C24" t="s">
        <v>212</v>
      </c>
      <c r="D24">
        <v>1767</v>
      </c>
      <c r="E24">
        <v>3364</v>
      </c>
      <c r="F24">
        <v>3504</v>
      </c>
      <c r="G24">
        <v>2267</v>
      </c>
      <c r="H24">
        <v>4535</v>
      </c>
      <c r="I24">
        <v>15437</v>
      </c>
      <c r="J24">
        <v>19530</v>
      </c>
      <c r="K24">
        <v>79.040000000000006</v>
      </c>
      <c r="L24">
        <v>20.96</v>
      </c>
    </row>
    <row r="25" spans="1:12" x14ac:dyDescent="0.35">
      <c r="A25" t="s">
        <v>35</v>
      </c>
      <c r="B25" t="s">
        <v>135</v>
      </c>
      <c r="C25" t="s">
        <v>212</v>
      </c>
      <c r="D25">
        <v>3317</v>
      </c>
      <c r="E25">
        <v>1055</v>
      </c>
      <c r="F25">
        <v>4762</v>
      </c>
      <c r="G25">
        <v>3261</v>
      </c>
      <c r="H25">
        <v>1897</v>
      </c>
      <c r="I25">
        <v>14292</v>
      </c>
      <c r="J25">
        <v>18107</v>
      </c>
      <c r="K25">
        <v>78.930000000000007</v>
      </c>
      <c r="L25">
        <v>21.07</v>
      </c>
    </row>
    <row r="26" spans="1:12" x14ac:dyDescent="0.35">
      <c r="A26" t="s">
        <v>36</v>
      </c>
      <c r="B26" t="s">
        <v>136</v>
      </c>
      <c r="C26" t="s">
        <v>215</v>
      </c>
      <c r="D26">
        <v>2834</v>
      </c>
      <c r="E26">
        <v>1134</v>
      </c>
      <c r="F26">
        <v>4831</v>
      </c>
      <c r="G26">
        <v>3016</v>
      </c>
      <c r="H26">
        <v>3315</v>
      </c>
      <c r="I26">
        <v>15130</v>
      </c>
      <c r="J26">
        <v>16198</v>
      </c>
      <c r="K26">
        <v>93.41</v>
      </c>
      <c r="L26">
        <v>6.59</v>
      </c>
    </row>
    <row r="27" spans="1:12" x14ac:dyDescent="0.35">
      <c r="A27" t="s">
        <v>37</v>
      </c>
      <c r="B27" t="s">
        <v>137</v>
      </c>
      <c r="C27" t="s">
        <v>215</v>
      </c>
      <c r="D27">
        <v>4630</v>
      </c>
      <c r="E27">
        <v>1543</v>
      </c>
      <c r="F27">
        <v>4405</v>
      </c>
      <c r="G27">
        <v>2712</v>
      </c>
      <c r="H27">
        <v>2705</v>
      </c>
      <c r="I27">
        <v>15995</v>
      </c>
      <c r="J27">
        <v>16438</v>
      </c>
      <c r="K27">
        <v>97.31</v>
      </c>
      <c r="L27">
        <v>2.69</v>
      </c>
    </row>
    <row r="28" spans="1:12" x14ac:dyDescent="0.35">
      <c r="A28" t="s">
        <v>38</v>
      </c>
      <c r="B28" t="s">
        <v>138</v>
      </c>
      <c r="C28" t="s">
        <v>212</v>
      </c>
      <c r="D28">
        <v>1128</v>
      </c>
      <c r="E28">
        <v>1387</v>
      </c>
      <c r="F28">
        <v>3324</v>
      </c>
      <c r="G28">
        <v>2537</v>
      </c>
      <c r="H28">
        <v>1250</v>
      </c>
      <c r="I28">
        <v>9626</v>
      </c>
      <c r="J28">
        <v>17207</v>
      </c>
      <c r="K28">
        <v>55.94</v>
      </c>
      <c r="L28">
        <v>44.06</v>
      </c>
    </row>
    <row r="29" spans="1:12" x14ac:dyDescent="0.35">
      <c r="A29" t="s">
        <v>39</v>
      </c>
      <c r="B29" t="s">
        <v>139</v>
      </c>
      <c r="C29" t="s">
        <v>213</v>
      </c>
      <c r="D29">
        <v>3910</v>
      </c>
      <c r="E29">
        <v>4473</v>
      </c>
      <c r="F29">
        <v>3844</v>
      </c>
      <c r="G29">
        <v>1298</v>
      </c>
      <c r="H29">
        <v>4705</v>
      </c>
      <c r="I29">
        <v>18230</v>
      </c>
      <c r="J29">
        <v>15004</v>
      </c>
      <c r="K29">
        <v>121.5</v>
      </c>
      <c r="L29">
        <v>-21.5</v>
      </c>
    </row>
    <row r="30" spans="1:12" x14ac:dyDescent="0.35">
      <c r="A30" t="s">
        <v>40</v>
      </c>
      <c r="B30" t="s">
        <v>140</v>
      </c>
      <c r="C30" t="s">
        <v>212</v>
      </c>
      <c r="D30">
        <v>2067</v>
      </c>
      <c r="E30">
        <v>4289</v>
      </c>
      <c r="F30">
        <v>1509</v>
      </c>
      <c r="G30">
        <v>4571</v>
      </c>
      <c r="H30">
        <v>4607</v>
      </c>
      <c r="I30">
        <v>17043</v>
      </c>
      <c r="J30">
        <v>17910</v>
      </c>
      <c r="K30">
        <v>95.16</v>
      </c>
      <c r="L30">
        <v>4.84</v>
      </c>
    </row>
    <row r="31" spans="1:12" x14ac:dyDescent="0.35">
      <c r="A31" t="s">
        <v>41</v>
      </c>
      <c r="B31" t="s">
        <v>141</v>
      </c>
      <c r="C31" t="s">
        <v>213</v>
      </c>
      <c r="D31">
        <v>3748</v>
      </c>
      <c r="E31">
        <v>4648</v>
      </c>
      <c r="F31">
        <v>1428</v>
      </c>
      <c r="G31">
        <v>1873</v>
      </c>
      <c r="H31">
        <v>1345</v>
      </c>
      <c r="I31">
        <v>13042</v>
      </c>
      <c r="J31">
        <v>15161</v>
      </c>
      <c r="K31">
        <v>86.02</v>
      </c>
      <c r="L31">
        <v>13.98</v>
      </c>
    </row>
    <row r="32" spans="1:12" x14ac:dyDescent="0.35">
      <c r="A32" t="s">
        <v>42</v>
      </c>
      <c r="B32" t="s">
        <v>142</v>
      </c>
      <c r="C32" t="s">
        <v>212</v>
      </c>
      <c r="D32">
        <v>4643</v>
      </c>
      <c r="E32">
        <v>3068</v>
      </c>
      <c r="F32">
        <v>2634</v>
      </c>
      <c r="G32">
        <v>4966</v>
      </c>
      <c r="H32">
        <v>3189</v>
      </c>
      <c r="I32">
        <v>18500</v>
      </c>
      <c r="J32">
        <v>15203</v>
      </c>
      <c r="K32">
        <v>121.69</v>
      </c>
      <c r="L32">
        <v>-21.69</v>
      </c>
    </row>
    <row r="33" spans="1:12" x14ac:dyDescent="0.35">
      <c r="A33" t="s">
        <v>43</v>
      </c>
      <c r="B33" t="s">
        <v>143</v>
      </c>
      <c r="C33" t="s">
        <v>214</v>
      </c>
      <c r="D33">
        <v>3041</v>
      </c>
      <c r="E33">
        <v>2198</v>
      </c>
      <c r="F33">
        <v>2075</v>
      </c>
      <c r="G33">
        <v>4099</v>
      </c>
      <c r="H33">
        <v>4487</v>
      </c>
      <c r="I33">
        <v>15900</v>
      </c>
      <c r="J33">
        <v>17094</v>
      </c>
      <c r="K33">
        <v>93.02</v>
      </c>
      <c r="L33">
        <v>6.98</v>
      </c>
    </row>
    <row r="34" spans="1:12" x14ac:dyDescent="0.35">
      <c r="A34" t="s">
        <v>44</v>
      </c>
      <c r="B34" t="s">
        <v>144</v>
      </c>
      <c r="C34" t="s">
        <v>214</v>
      </c>
      <c r="D34">
        <v>4794</v>
      </c>
      <c r="E34">
        <v>2177</v>
      </c>
      <c r="F34">
        <v>2947</v>
      </c>
      <c r="G34">
        <v>2051</v>
      </c>
      <c r="H34">
        <v>4305</v>
      </c>
      <c r="I34">
        <v>16274</v>
      </c>
      <c r="J34">
        <v>17412</v>
      </c>
      <c r="K34">
        <v>93.46</v>
      </c>
      <c r="L34">
        <v>6.54</v>
      </c>
    </row>
    <row r="35" spans="1:12" x14ac:dyDescent="0.35">
      <c r="A35" t="s">
        <v>45</v>
      </c>
      <c r="B35" t="s">
        <v>145</v>
      </c>
      <c r="C35" t="s">
        <v>212</v>
      </c>
      <c r="D35">
        <v>1312</v>
      </c>
      <c r="E35">
        <v>2685</v>
      </c>
      <c r="F35">
        <v>2074</v>
      </c>
      <c r="G35">
        <v>3373</v>
      </c>
      <c r="H35">
        <v>3765</v>
      </c>
      <c r="I35">
        <v>13209</v>
      </c>
      <c r="J35">
        <v>18135</v>
      </c>
      <c r="K35">
        <v>72.84</v>
      </c>
      <c r="L35">
        <v>27.16</v>
      </c>
    </row>
    <row r="36" spans="1:12" x14ac:dyDescent="0.35">
      <c r="A36" t="s">
        <v>46</v>
      </c>
      <c r="B36" t="s">
        <v>146</v>
      </c>
      <c r="C36" t="s">
        <v>212</v>
      </c>
      <c r="D36">
        <v>4719</v>
      </c>
      <c r="E36">
        <v>1324</v>
      </c>
      <c r="F36">
        <v>2909</v>
      </c>
      <c r="G36">
        <v>4376</v>
      </c>
      <c r="H36">
        <v>3993</v>
      </c>
      <c r="I36">
        <v>17321</v>
      </c>
      <c r="J36">
        <v>17683</v>
      </c>
      <c r="K36">
        <v>97.95</v>
      </c>
      <c r="L36">
        <v>2.0499999999999998</v>
      </c>
    </row>
    <row r="37" spans="1:12" x14ac:dyDescent="0.35">
      <c r="A37" t="s">
        <v>47</v>
      </c>
      <c r="B37" t="s">
        <v>147</v>
      </c>
      <c r="C37" t="s">
        <v>214</v>
      </c>
      <c r="D37">
        <v>2526</v>
      </c>
      <c r="E37">
        <v>4963</v>
      </c>
      <c r="F37">
        <v>4735</v>
      </c>
      <c r="G37">
        <v>1299</v>
      </c>
      <c r="H37">
        <v>1110</v>
      </c>
      <c r="I37">
        <v>14633</v>
      </c>
      <c r="J37">
        <v>16070</v>
      </c>
      <c r="K37">
        <v>91.06</v>
      </c>
      <c r="L37">
        <v>8.94</v>
      </c>
    </row>
    <row r="38" spans="1:12" x14ac:dyDescent="0.35">
      <c r="A38" t="s">
        <v>48</v>
      </c>
      <c r="B38" t="s">
        <v>148</v>
      </c>
      <c r="C38" t="s">
        <v>212</v>
      </c>
      <c r="D38">
        <v>2268</v>
      </c>
      <c r="E38">
        <v>2902</v>
      </c>
      <c r="F38">
        <v>2431</v>
      </c>
      <c r="G38">
        <v>3286</v>
      </c>
      <c r="H38">
        <v>3880</v>
      </c>
      <c r="I38">
        <v>14767</v>
      </c>
      <c r="J38">
        <v>15650</v>
      </c>
      <c r="K38">
        <v>94.36</v>
      </c>
      <c r="L38">
        <v>5.64</v>
      </c>
    </row>
    <row r="39" spans="1:12" x14ac:dyDescent="0.35">
      <c r="A39" t="s">
        <v>49</v>
      </c>
      <c r="B39" t="s">
        <v>149</v>
      </c>
      <c r="C39" t="s">
        <v>213</v>
      </c>
      <c r="D39">
        <v>1076</v>
      </c>
      <c r="E39">
        <v>4924</v>
      </c>
      <c r="F39">
        <v>4816</v>
      </c>
      <c r="G39">
        <v>4396</v>
      </c>
      <c r="H39">
        <v>1086</v>
      </c>
      <c r="I39">
        <v>16298</v>
      </c>
      <c r="J39">
        <v>17246</v>
      </c>
      <c r="K39">
        <v>94.5</v>
      </c>
      <c r="L39">
        <v>5.5</v>
      </c>
    </row>
    <row r="40" spans="1:12" x14ac:dyDescent="0.35">
      <c r="A40" t="s">
        <v>50</v>
      </c>
      <c r="B40" t="s">
        <v>150</v>
      </c>
      <c r="C40" t="s">
        <v>213</v>
      </c>
      <c r="D40">
        <v>2118</v>
      </c>
      <c r="E40">
        <v>2500</v>
      </c>
      <c r="F40">
        <v>3039</v>
      </c>
      <c r="G40">
        <v>1868</v>
      </c>
      <c r="H40">
        <v>4200</v>
      </c>
      <c r="I40">
        <v>13725</v>
      </c>
      <c r="J40">
        <v>18394</v>
      </c>
      <c r="K40">
        <v>74.62</v>
      </c>
      <c r="L40">
        <v>25.38</v>
      </c>
    </row>
    <row r="41" spans="1:12" x14ac:dyDescent="0.35">
      <c r="A41" t="s">
        <v>51</v>
      </c>
      <c r="B41" t="s">
        <v>151</v>
      </c>
      <c r="C41" t="s">
        <v>215</v>
      </c>
      <c r="D41">
        <v>2359</v>
      </c>
      <c r="E41">
        <v>2236</v>
      </c>
      <c r="F41">
        <v>4894</v>
      </c>
      <c r="G41">
        <v>3904</v>
      </c>
      <c r="H41">
        <v>3850</v>
      </c>
      <c r="I41">
        <v>17243</v>
      </c>
      <c r="J41">
        <v>17422</v>
      </c>
      <c r="K41">
        <v>98.97</v>
      </c>
      <c r="L41">
        <v>1.03</v>
      </c>
    </row>
    <row r="42" spans="1:12" x14ac:dyDescent="0.35">
      <c r="A42" t="s">
        <v>52</v>
      </c>
      <c r="B42" t="s">
        <v>152</v>
      </c>
      <c r="C42" t="s">
        <v>213</v>
      </c>
      <c r="D42">
        <v>2894</v>
      </c>
      <c r="E42">
        <v>2588</v>
      </c>
      <c r="F42">
        <v>3823</v>
      </c>
      <c r="G42">
        <v>1383</v>
      </c>
      <c r="H42">
        <v>3588</v>
      </c>
      <c r="I42">
        <v>14276</v>
      </c>
      <c r="J42">
        <v>18954</v>
      </c>
      <c r="K42">
        <v>75.319999999999993</v>
      </c>
      <c r="L42">
        <v>24.68</v>
      </c>
    </row>
    <row r="43" spans="1:12" x14ac:dyDescent="0.35">
      <c r="A43" t="s">
        <v>53</v>
      </c>
      <c r="B43" t="s">
        <v>153</v>
      </c>
      <c r="C43" t="s">
        <v>212</v>
      </c>
      <c r="D43">
        <v>4197</v>
      </c>
      <c r="E43">
        <v>2339</v>
      </c>
      <c r="F43">
        <v>3788</v>
      </c>
      <c r="G43">
        <v>2767</v>
      </c>
      <c r="H43">
        <v>2949</v>
      </c>
      <c r="I43">
        <v>16040</v>
      </c>
      <c r="J43">
        <v>17993</v>
      </c>
      <c r="K43">
        <v>89.15</v>
      </c>
      <c r="L43">
        <v>10.85</v>
      </c>
    </row>
    <row r="44" spans="1:12" x14ac:dyDescent="0.35">
      <c r="A44" t="s">
        <v>54</v>
      </c>
      <c r="B44" t="s">
        <v>154</v>
      </c>
      <c r="C44" t="s">
        <v>213</v>
      </c>
      <c r="D44">
        <v>4961</v>
      </c>
      <c r="E44">
        <v>3722</v>
      </c>
      <c r="F44">
        <v>3297</v>
      </c>
      <c r="G44">
        <v>4244</v>
      </c>
      <c r="H44">
        <v>1998</v>
      </c>
      <c r="I44">
        <v>18222</v>
      </c>
      <c r="J44">
        <v>17864</v>
      </c>
      <c r="K44">
        <v>102</v>
      </c>
      <c r="L44">
        <v>-2</v>
      </c>
    </row>
    <row r="45" spans="1:12" x14ac:dyDescent="0.35">
      <c r="A45" t="s">
        <v>55</v>
      </c>
      <c r="B45" t="s">
        <v>155</v>
      </c>
      <c r="C45" t="s">
        <v>213</v>
      </c>
      <c r="D45">
        <v>4607</v>
      </c>
      <c r="E45">
        <v>4128</v>
      </c>
      <c r="F45">
        <v>2141</v>
      </c>
      <c r="G45">
        <v>2096</v>
      </c>
      <c r="H45">
        <v>1756</v>
      </c>
      <c r="I45">
        <v>14728</v>
      </c>
      <c r="J45">
        <v>16187</v>
      </c>
      <c r="K45">
        <v>90.99</v>
      </c>
      <c r="L45">
        <v>9.01</v>
      </c>
    </row>
    <row r="46" spans="1:12" x14ac:dyDescent="0.35">
      <c r="A46" t="s">
        <v>56</v>
      </c>
      <c r="B46" t="s">
        <v>156</v>
      </c>
      <c r="C46" t="s">
        <v>214</v>
      </c>
      <c r="D46">
        <v>1452</v>
      </c>
      <c r="E46">
        <v>4077</v>
      </c>
      <c r="F46">
        <v>3076</v>
      </c>
      <c r="G46">
        <v>2803</v>
      </c>
      <c r="H46">
        <v>4500</v>
      </c>
      <c r="I46">
        <v>15908</v>
      </c>
      <c r="J46">
        <v>15079</v>
      </c>
      <c r="K46">
        <v>105.5</v>
      </c>
      <c r="L46">
        <v>-5.5</v>
      </c>
    </row>
    <row r="47" spans="1:12" x14ac:dyDescent="0.35">
      <c r="A47" t="s">
        <v>57</v>
      </c>
      <c r="B47" t="s">
        <v>157</v>
      </c>
      <c r="C47" t="s">
        <v>214</v>
      </c>
      <c r="D47">
        <v>2261</v>
      </c>
      <c r="E47">
        <v>3770</v>
      </c>
      <c r="F47">
        <v>1798</v>
      </c>
      <c r="G47">
        <v>3180</v>
      </c>
      <c r="H47">
        <v>2633</v>
      </c>
      <c r="I47">
        <v>13642</v>
      </c>
      <c r="J47">
        <v>18878</v>
      </c>
      <c r="K47">
        <v>72.260000000000005</v>
      </c>
      <c r="L47">
        <v>27.74</v>
      </c>
    </row>
    <row r="48" spans="1:12" x14ac:dyDescent="0.35">
      <c r="A48" t="s">
        <v>58</v>
      </c>
      <c r="B48" t="s">
        <v>158</v>
      </c>
      <c r="C48" t="s">
        <v>213</v>
      </c>
      <c r="D48">
        <v>3778</v>
      </c>
      <c r="E48">
        <v>4265</v>
      </c>
      <c r="F48">
        <v>3633</v>
      </c>
      <c r="G48">
        <v>3130</v>
      </c>
      <c r="H48">
        <v>2950</v>
      </c>
      <c r="I48">
        <v>17756</v>
      </c>
      <c r="J48">
        <v>19813</v>
      </c>
      <c r="K48">
        <v>89.62</v>
      </c>
      <c r="L48">
        <v>10.38</v>
      </c>
    </row>
    <row r="49" spans="1:12" x14ac:dyDescent="0.35">
      <c r="A49" t="s">
        <v>59</v>
      </c>
      <c r="B49" t="s">
        <v>159</v>
      </c>
      <c r="C49" t="s">
        <v>212</v>
      </c>
      <c r="D49">
        <v>1788</v>
      </c>
      <c r="E49">
        <v>1782</v>
      </c>
      <c r="F49">
        <v>3336</v>
      </c>
      <c r="G49">
        <v>1286</v>
      </c>
      <c r="H49">
        <v>1540</v>
      </c>
      <c r="I49">
        <v>9732</v>
      </c>
      <c r="J49">
        <v>17685</v>
      </c>
      <c r="K49">
        <v>55.03</v>
      </c>
      <c r="L49">
        <v>44.97</v>
      </c>
    </row>
    <row r="50" spans="1:12" x14ac:dyDescent="0.35">
      <c r="A50" t="s">
        <v>60</v>
      </c>
      <c r="B50" t="s">
        <v>160</v>
      </c>
      <c r="C50" t="s">
        <v>215</v>
      </c>
      <c r="D50">
        <v>1856</v>
      </c>
      <c r="E50">
        <v>4688</v>
      </c>
      <c r="F50">
        <v>1904</v>
      </c>
      <c r="G50">
        <v>4737</v>
      </c>
      <c r="H50">
        <v>1901</v>
      </c>
      <c r="I50">
        <v>15086</v>
      </c>
      <c r="J50">
        <v>15077</v>
      </c>
      <c r="K50">
        <v>100.06</v>
      </c>
      <c r="L50">
        <v>-0.06</v>
      </c>
    </row>
    <row r="51" spans="1:12" x14ac:dyDescent="0.35">
      <c r="A51" t="s">
        <v>61</v>
      </c>
      <c r="B51" t="s">
        <v>161</v>
      </c>
      <c r="C51" t="s">
        <v>212</v>
      </c>
      <c r="D51">
        <v>2355</v>
      </c>
      <c r="E51">
        <v>2981</v>
      </c>
      <c r="F51">
        <v>4579</v>
      </c>
      <c r="G51">
        <v>3678</v>
      </c>
      <c r="H51">
        <v>3959</v>
      </c>
      <c r="I51">
        <v>17552</v>
      </c>
      <c r="J51">
        <v>15127</v>
      </c>
      <c r="K51">
        <v>116.03</v>
      </c>
      <c r="L51">
        <v>-16.03</v>
      </c>
    </row>
    <row r="52" spans="1:12" x14ac:dyDescent="0.35">
      <c r="A52" t="s">
        <v>62</v>
      </c>
      <c r="B52" t="s">
        <v>162</v>
      </c>
      <c r="C52" t="s">
        <v>215</v>
      </c>
      <c r="D52">
        <v>4063</v>
      </c>
      <c r="E52">
        <v>4299</v>
      </c>
      <c r="F52">
        <v>2650</v>
      </c>
      <c r="G52">
        <v>2051</v>
      </c>
      <c r="H52">
        <v>2683</v>
      </c>
      <c r="I52">
        <v>15746</v>
      </c>
      <c r="J52">
        <v>19928</v>
      </c>
      <c r="K52">
        <v>79.010000000000005</v>
      </c>
      <c r="L52">
        <v>20.99</v>
      </c>
    </row>
    <row r="53" spans="1:12" x14ac:dyDescent="0.35">
      <c r="A53" t="s">
        <v>63</v>
      </c>
      <c r="B53" t="s">
        <v>163</v>
      </c>
      <c r="C53" t="s">
        <v>215</v>
      </c>
      <c r="D53">
        <v>3913</v>
      </c>
      <c r="E53">
        <v>3587</v>
      </c>
      <c r="F53">
        <v>1596</v>
      </c>
      <c r="G53">
        <v>3493</v>
      </c>
      <c r="H53">
        <v>1244</v>
      </c>
      <c r="I53">
        <v>13833</v>
      </c>
      <c r="J53">
        <v>19259</v>
      </c>
      <c r="K53">
        <v>71.83</v>
      </c>
      <c r="L53">
        <v>28.17</v>
      </c>
    </row>
    <row r="54" spans="1:12" x14ac:dyDescent="0.35">
      <c r="A54" t="s">
        <v>64</v>
      </c>
      <c r="B54" t="s">
        <v>164</v>
      </c>
      <c r="C54" t="s">
        <v>215</v>
      </c>
      <c r="D54">
        <v>2806</v>
      </c>
      <c r="E54">
        <v>2958</v>
      </c>
      <c r="F54">
        <v>1447</v>
      </c>
      <c r="G54">
        <v>2180</v>
      </c>
      <c r="H54">
        <v>3765</v>
      </c>
      <c r="I54">
        <v>13156</v>
      </c>
      <c r="J54">
        <v>16089</v>
      </c>
      <c r="K54">
        <v>81.77</v>
      </c>
      <c r="L54">
        <v>18.23</v>
      </c>
    </row>
    <row r="55" spans="1:12" x14ac:dyDescent="0.35">
      <c r="A55" t="s">
        <v>65</v>
      </c>
      <c r="B55" t="s">
        <v>165</v>
      </c>
      <c r="C55" t="s">
        <v>212</v>
      </c>
      <c r="D55">
        <v>2367</v>
      </c>
      <c r="E55">
        <v>2665</v>
      </c>
      <c r="F55">
        <v>1947</v>
      </c>
      <c r="G55">
        <v>3996</v>
      </c>
      <c r="H55">
        <v>1601</v>
      </c>
      <c r="I55">
        <v>12576</v>
      </c>
      <c r="J55">
        <v>17002</v>
      </c>
      <c r="K55">
        <v>73.97</v>
      </c>
      <c r="L55">
        <v>26.03</v>
      </c>
    </row>
    <row r="56" spans="1:12" x14ac:dyDescent="0.35">
      <c r="A56" t="s">
        <v>66</v>
      </c>
      <c r="B56" t="s">
        <v>166</v>
      </c>
      <c r="C56" t="s">
        <v>213</v>
      </c>
      <c r="D56">
        <v>2391</v>
      </c>
      <c r="E56">
        <v>4913</v>
      </c>
      <c r="F56">
        <v>1545</v>
      </c>
      <c r="G56">
        <v>3330</v>
      </c>
      <c r="H56">
        <v>4189</v>
      </c>
      <c r="I56">
        <v>16368</v>
      </c>
      <c r="J56">
        <v>16515</v>
      </c>
      <c r="K56">
        <v>99.11</v>
      </c>
      <c r="L56">
        <v>0.89</v>
      </c>
    </row>
    <row r="57" spans="1:12" x14ac:dyDescent="0.35">
      <c r="A57" t="s">
        <v>67</v>
      </c>
      <c r="B57" t="s">
        <v>167</v>
      </c>
      <c r="C57" t="s">
        <v>215</v>
      </c>
      <c r="D57">
        <v>1671</v>
      </c>
      <c r="E57">
        <v>4154</v>
      </c>
      <c r="F57">
        <v>2592</v>
      </c>
      <c r="G57">
        <v>2833</v>
      </c>
      <c r="H57">
        <v>2290</v>
      </c>
      <c r="I57">
        <v>13540</v>
      </c>
      <c r="J57">
        <v>19609</v>
      </c>
      <c r="K57">
        <v>69.05</v>
      </c>
      <c r="L57">
        <v>30.95</v>
      </c>
    </row>
    <row r="58" spans="1:12" x14ac:dyDescent="0.35">
      <c r="A58" t="s">
        <v>68</v>
      </c>
      <c r="B58" t="s">
        <v>168</v>
      </c>
      <c r="C58" t="s">
        <v>212</v>
      </c>
      <c r="D58">
        <v>2168</v>
      </c>
      <c r="E58">
        <v>4713</v>
      </c>
      <c r="F58">
        <v>1686</v>
      </c>
      <c r="G58">
        <v>1360</v>
      </c>
      <c r="H58">
        <v>1199</v>
      </c>
      <c r="I58">
        <v>11126</v>
      </c>
      <c r="J58">
        <v>16972</v>
      </c>
      <c r="K58">
        <v>65.56</v>
      </c>
      <c r="L58">
        <v>34.44</v>
      </c>
    </row>
    <row r="59" spans="1:12" x14ac:dyDescent="0.35">
      <c r="A59" t="s">
        <v>69</v>
      </c>
      <c r="B59" t="s">
        <v>169</v>
      </c>
      <c r="C59" t="s">
        <v>214</v>
      </c>
      <c r="D59">
        <v>1478</v>
      </c>
      <c r="E59">
        <v>1660</v>
      </c>
      <c r="F59">
        <v>2398</v>
      </c>
      <c r="G59">
        <v>4714</v>
      </c>
      <c r="H59">
        <v>4421</v>
      </c>
      <c r="I59">
        <v>14671</v>
      </c>
      <c r="J59">
        <v>18230</v>
      </c>
      <c r="K59">
        <v>80.48</v>
      </c>
      <c r="L59">
        <v>19.52</v>
      </c>
    </row>
    <row r="60" spans="1:12" x14ac:dyDescent="0.35">
      <c r="A60" t="s">
        <v>70</v>
      </c>
      <c r="B60" t="s">
        <v>170</v>
      </c>
      <c r="C60" t="s">
        <v>214</v>
      </c>
      <c r="D60">
        <v>3657</v>
      </c>
      <c r="E60">
        <v>4870</v>
      </c>
      <c r="F60">
        <v>2639</v>
      </c>
      <c r="G60">
        <v>4845</v>
      </c>
      <c r="H60">
        <v>2999</v>
      </c>
      <c r="I60">
        <v>19010</v>
      </c>
      <c r="J60">
        <v>17004</v>
      </c>
      <c r="K60">
        <v>111.8</v>
      </c>
      <c r="L60">
        <v>-11.8</v>
      </c>
    </row>
    <row r="61" spans="1:12" x14ac:dyDescent="0.35">
      <c r="A61" t="s">
        <v>71</v>
      </c>
      <c r="B61" t="s">
        <v>171</v>
      </c>
      <c r="C61" t="s">
        <v>213</v>
      </c>
      <c r="D61">
        <v>2915</v>
      </c>
      <c r="E61">
        <v>2369</v>
      </c>
      <c r="F61">
        <v>3768</v>
      </c>
      <c r="G61">
        <v>2172</v>
      </c>
      <c r="H61">
        <v>2042</v>
      </c>
      <c r="I61">
        <v>13266</v>
      </c>
      <c r="J61">
        <v>18245</v>
      </c>
      <c r="K61">
        <v>72.709999999999994</v>
      </c>
      <c r="L61">
        <v>27.29</v>
      </c>
    </row>
    <row r="62" spans="1:12" x14ac:dyDescent="0.35">
      <c r="A62" t="s">
        <v>72</v>
      </c>
      <c r="B62" t="s">
        <v>172</v>
      </c>
      <c r="C62" t="s">
        <v>212</v>
      </c>
      <c r="D62">
        <v>2944</v>
      </c>
      <c r="E62">
        <v>4467</v>
      </c>
      <c r="F62">
        <v>3097</v>
      </c>
      <c r="G62">
        <v>4935</v>
      </c>
      <c r="H62">
        <v>1014</v>
      </c>
      <c r="I62">
        <v>16457</v>
      </c>
      <c r="J62">
        <v>16343</v>
      </c>
      <c r="K62">
        <v>100.7</v>
      </c>
      <c r="L62">
        <v>-0.7</v>
      </c>
    </row>
    <row r="63" spans="1:12" x14ac:dyDescent="0.35">
      <c r="A63" t="s">
        <v>73</v>
      </c>
      <c r="B63" t="s">
        <v>173</v>
      </c>
      <c r="C63" t="s">
        <v>215</v>
      </c>
      <c r="D63">
        <v>3668</v>
      </c>
      <c r="E63">
        <v>2826</v>
      </c>
      <c r="F63">
        <v>4772</v>
      </c>
      <c r="G63">
        <v>1799</v>
      </c>
      <c r="H63">
        <v>1056</v>
      </c>
      <c r="I63">
        <v>14121</v>
      </c>
      <c r="J63">
        <v>15628</v>
      </c>
      <c r="K63">
        <v>90.36</v>
      </c>
      <c r="L63">
        <v>9.64</v>
      </c>
    </row>
    <row r="64" spans="1:12" x14ac:dyDescent="0.35">
      <c r="A64" t="s">
        <v>74</v>
      </c>
      <c r="B64" t="s">
        <v>174</v>
      </c>
      <c r="C64" t="s">
        <v>214</v>
      </c>
      <c r="D64">
        <v>1307</v>
      </c>
      <c r="E64">
        <v>3241</v>
      </c>
      <c r="F64">
        <v>4123</v>
      </c>
      <c r="G64">
        <v>3539</v>
      </c>
      <c r="H64">
        <v>2601</v>
      </c>
      <c r="I64">
        <v>14811</v>
      </c>
      <c r="J64">
        <v>16045</v>
      </c>
      <c r="K64">
        <v>92.31</v>
      </c>
      <c r="L64">
        <v>7.69</v>
      </c>
    </row>
    <row r="65" spans="1:12" x14ac:dyDescent="0.35">
      <c r="A65" t="s">
        <v>75</v>
      </c>
      <c r="B65" t="s">
        <v>175</v>
      </c>
      <c r="C65" t="s">
        <v>215</v>
      </c>
      <c r="D65">
        <v>4566</v>
      </c>
      <c r="E65">
        <v>3810</v>
      </c>
      <c r="F65">
        <v>2756</v>
      </c>
      <c r="G65">
        <v>3456</v>
      </c>
      <c r="H65">
        <v>3410</v>
      </c>
      <c r="I65">
        <v>17998</v>
      </c>
      <c r="J65">
        <v>16713</v>
      </c>
      <c r="K65">
        <v>107.69</v>
      </c>
      <c r="L65">
        <v>-7.69</v>
      </c>
    </row>
    <row r="66" spans="1:12" x14ac:dyDescent="0.35">
      <c r="A66" t="s">
        <v>76</v>
      </c>
      <c r="B66" t="s">
        <v>176</v>
      </c>
      <c r="C66" t="s">
        <v>215</v>
      </c>
      <c r="D66">
        <v>4337</v>
      </c>
      <c r="E66">
        <v>4060</v>
      </c>
      <c r="F66">
        <v>2658</v>
      </c>
      <c r="G66">
        <v>1345</v>
      </c>
      <c r="H66">
        <v>3367</v>
      </c>
      <c r="I66">
        <v>15767</v>
      </c>
      <c r="J66">
        <v>15462</v>
      </c>
      <c r="K66">
        <v>101.97</v>
      </c>
      <c r="L66">
        <v>-1.97</v>
      </c>
    </row>
    <row r="67" spans="1:12" x14ac:dyDescent="0.35">
      <c r="A67" t="s">
        <v>77</v>
      </c>
      <c r="B67" t="s">
        <v>177</v>
      </c>
      <c r="C67" t="s">
        <v>215</v>
      </c>
      <c r="D67">
        <v>2450</v>
      </c>
      <c r="E67">
        <v>4629</v>
      </c>
      <c r="F67">
        <v>3648</v>
      </c>
      <c r="G67">
        <v>2240</v>
      </c>
      <c r="H67">
        <v>2874</v>
      </c>
      <c r="I67">
        <v>15841</v>
      </c>
      <c r="J67">
        <v>18215</v>
      </c>
      <c r="K67">
        <v>86.97</v>
      </c>
      <c r="L67">
        <v>13.03</v>
      </c>
    </row>
    <row r="68" spans="1:12" x14ac:dyDescent="0.35">
      <c r="A68" t="s">
        <v>78</v>
      </c>
      <c r="B68" t="s">
        <v>178</v>
      </c>
      <c r="C68" t="s">
        <v>212</v>
      </c>
      <c r="D68">
        <v>2013</v>
      </c>
      <c r="E68">
        <v>2110</v>
      </c>
      <c r="F68">
        <v>3454</v>
      </c>
      <c r="G68">
        <v>1394</v>
      </c>
      <c r="H68">
        <v>3183</v>
      </c>
      <c r="I68">
        <v>12154</v>
      </c>
      <c r="J68">
        <v>16833</v>
      </c>
      <c r="K68">
        <v>72.2</v>
      </c>
      <c r="L68">
        <v>27.8</v>
      </c>
    </row>
    <row r="69" spans="1:12" x14ac:dyDescent="0.35">
      <c r="A69" t="s">
        <v>79</v>
      </c>
      <c r="B69" t="s">
        <v>179</v>
      </c>
      <c r="C69" t="s">
        <v>215</v>
      </c>
      <c r="D69">
        <v>3605</v>
      </c>
      <c r="E69">
        <v>2976</v>
      </c>
      <c r="F69">
        <v>3539</v>
      </c>
      <c r="G69">
        <v>1149</v>
      </c>
      <c r="H69">
        <v>3019</v>
      </c>
      <c r="I69">
        <v>14288</v>
      </c>
      <c r="J69">
        <v>15733</v>
      </c>
      <c r="K69">
        <v>90.82</v>
      </c>
      <c r="L69">
        <v>9.18</v>
      </c>
    </row>
    <row r="70" spans="1:12" x14ac:dyDescent="0.35">
      <c r="A70" t="s">
        <v>80</v>
      </c>
      <c r="B70" t="s">
        <v>180</v>
      </c>
      <c r="C70" t="s">
        <v>212</v>
      </c>
      <c r="D70">
        <v>1273</v>
      </c>
      <c r="E70">
        <v>1455</v>
      </c>
      <c r="F70">
        <v>1146</v>
      </c>
      <c r="G70">
        <v>2594</v>
      </c>
      <c r="H70">
        <v>2864</v>
      </c>
      <c r="I70">
        <v>9332</v>
      </c>
      <c r="J70">
        <v>18337</v>
      </c>
      <c r="K70">
        <v>50.89</v>
      </c>
      <c r="L70">
        <v>49.11</v>
      </c>
    </row>
    <row r="71" spans="1:12" x14ac:dyDescent="0.35">
      <c r="A71" t="s">
        <v>81</v>
      </c>
      <c r="B71" t="s">
        <v>181</v>
      </c>
      <c r="C71" t="s">
        <v>213</v>
      </c>
      <c r="D71">
        <v>2403</v>
      </c>
      <c r="E71">
        <v>2703</v>
      </c>
      <c r="F71">
        <v>1426</v>
      </c>
      <c r="G71">
        <v>1606</v>
      </c>
      <c r="H71">
        <v>1184</v>
      </c>
      <c r="I71">
        <v>9322</v>
      </c>
      <c r="J71">
        <v>17577</v>
      </c>
      <c r="K71">
        <v>53.04</v>
      </c>
      <c r="L71">
        <v>46.96</v>
      </c>
    </row>
    <row r="72" spans="1:12" x14ac:dyDescent="0.35">
      <c r="A72" t="s">
        <v>82</v>
      </c>
      <c r="B72" t="s">
        <v>182</v>
      </c>
      <c r="C72" t="s">
        <v>213</v>
      </c>
      <c r="D72">
        <v>1964</v>
      </c>
      <c r="E72">
        <v>4863</v>
      </c>
      <c r="F72">
        <v>1217</v>
      </c>
      <c r="G72">
        <v>1880</v>
      </c>
      <c r="H72">
        <v>1980</v>
      </c>
      <c r="I72">
        <v>11904</v>
      </c>
      <c r="J72">
        <v>19759</v>
      </c>
      <c r="K72">
        <v>60.25</v>
      </c>
      <c r="L72">
        <v>39.75</v>
      </c>
    </row>
    <row r="73" spans="1:12" x14ac:dyDescent="0.35">
      <c r="A73" t="s">
        <v>83</v>
      </c>
      <c r="B73" t="s">
        <v>183</v>
      </c>
      <c r="C73" t="s">
        <v>212</v>
      </c>
      <c r="D73">
        <v>2155</v>
      </c>
      <c r="E73">
        <v>2784</v>
      </c>
      <c r="F73">
        <v>1768</v>
      </c>
      <c r="G73">
        <v>1544</v>
      </c>
      <c r="H73">
        <v>1656</v>
      </c>
      <c r="I73">
        <v>9907</v>
      </c>
      <c r="J73">
        <v>15520</v>
      </c>
      <c r="K73">
        <v>63.83</v>
      </c>
      <c r="L73">
        <v>36.17</v>
      </c>
    </row>
    <row r="74" spans="1:12" x14ac:dyDescent="0.35">
      <c r="A74" t="s">
        <v>84</v>
      </c>
      <c r="B74" t="s">
        <v>184</v>
      </c>
      <c r="C74" t="s">
        <v>213</v>
      </c>
      <c r="D74">
        <v>3783</v>
      </c>
      <c r="E74">
        <v>3080</v>
      </c>
      <c r="F74">
        <v>3814</v>
      </c>
      <c r="G74">
        <v>3571</v>
      </c>
      <c r="H74">
        <v>3796</v>
      </c>
      <c r="I74">
        <v>18044</v>
      </c>
      <c r="J74">
        <v>15244</v>
      </c>
      <c r="K74">
        <v>118.37</v>
      </c>
      <c r="L74">
        <v>-18.37</v>
      </c>
    </row>
    <row r="75" spans="1:12" x14ac:dyDescent="0.35">
      <c r="A75" t="s">
        <v>85</v>
      </c>
      <c r="B75" t="s">
        <v>185</v>
      </c>
      <c r="C75" t="s">
        <v>212</v>
      </c>
      <c r="D75">
        <v>3090</v>
      </c>
      <c r="E75">
        <v>2451</v>
      </c>
      <c r="F75">
        <v>2932</v>
      </c>
      <c r="G75">
        <v>1141</v>
      </c>
      <c r="H75">
        <v>2850</v>
      </c>
      <c r="I75">
        <v>12464</v>
      </c>
      <c r="J75">
        <v>18764</v>
      </c>
      <c r="K75">
        <v>66.430000000000007</v>
      </c>
      <c r="L75">
        <v>33.57</v>
      </c>
    </row>
    <row r="76" spans="1:12" x14ac:dyDescent="0.35">
      <c r="A76" t="s">
        <v>86</v>
      </c>
      <c r="B76" t="s">
        <v>186</v>
      </c>
      <c r="C76" t="s">
        <v>213</v>
      </c>
      <c r="D76">
        <v>3202</v>
      </c>
      <c r="E76">
        <v>1534</v>
      </c>
      <c r="F76">
        <v>2279</v>
      </c>
      <c r="G76">
        <v>4994</v>
      </c>
      <c r="H76">
        <v>1661</v>
      </c>
      <c r="I76">
        <v>13670</v>
      </c>
      <c r="J76">
        <v>16719</v>
      </c>
      <c r="K76">
        <v>81.760000000000005</v>
      </c>
      <c r="L76">
        <v>18.239999999999998</v>
      </c>
    </row>
    <row r="77" spans="1:12" x14ac:dyDescent="0.35">
      <c r="A77" t="s">
        <v>87</v>
      </c>
      <c r="B77" t="s">
        <v>187</v>
      </c>
      <c r="C77" t="s">
        <v>214</v>
      </c>
      <c r="D77">
        <v>2385</v>
      </c>
      <c r="E77">
        <v>1421</v>
      </c>
      <c r="F77">
        <v>2866</v>
      </c>
      <c r="G77">
        <v>1738</v>
      </c>
      <c r="H77">
        <v>1288</v>
      </c>
      <c r="I77">
        <v>9698</v>
      </c>
      <c r="J77">
        <v>19690</v>
      </c>
      <c r="K77">
        <v>49.25</v>
      </c>
      <c r="L77">
        <v>50.75</v>
      </c>
    </row>
    <row r="78" spans="1:12" x14ac:dyDescent="0.35">
      <c r="A78" t="s">
        <v>88</v>
      </c>
      <c r="B78" t="s">
        <v>188</v>
      </c>
      <c r="C78" t="s">
        <v>214</v>
      </c>
      <c r="D78">
        <v>3548</v>
      </c>
      <c r="E78">
        <v>1755</v>
      </c>
      <c r="F78">
        <v>2960</v>
      </c>
      <c r="G78">
        <v>3710</v>
      </c>
      <c r="H78">
        <v>4332</v>
      </c>
      <c r="I78">
        <v>16305</v>
      </c>
      <c r="J78">
        <v>15239</v>
      </c>
      <c r="K78">
        <v>107</v>
      </c>
      <c r="L78">
        <v>-7</v>
      </c>
    </row>
    <row r="79" spans="1:12" x14ac:dyDescent="0.35">
      <c r="A79" t="s">
        <v>89</v>
      </c>
      <c r="B79" t="s">
        <v>189</v>
      </c>
      <c r="C79" t="s">
        <v>213</v>
      </c>
      <c r="D79">
        <v>2242</v>
      </c>
      <c r="E79">
        <v>4235</v>
      </c>
      <c r="F79">
        <v>2498</v>
      </c>
      <c r="G79">
        <v>3191</v>
      </c>
      <c r="H79">
        <v>3911</v>
      </c>
      <c r="I79">
        <v>16077</v>
      </c>
      <c r="J79">
        <v>17483</v>
      </c>
      <c r="K79">
        <v>91.96</v>
      </c>
      <c r="L79">
        <v>8.0399999999999991</v>
      </c>
    </row>
    <row r="80" spans="1:12" x14ac:dyDescent="0.35">
      <c r="A80" t="s">
        <v>90</v>
      </c>
      <c r="B80" t="s">
        <v>190</v>
      </c>
      <c r="C80" t="s">
        <v>213</v>
      </c>
      <c r="D80">
        <v>4158</v>
      </c>
      <c r="E80">
        <v>1904</v>
      </c>
      <c r="F80">
        <v>3704</v>
      </c>
      <c r="G80">
        <v>1418</v>
      </c>
      <c r="H80">
        <v>4035</v>
      </c>
      <c r="I80">
        <v>15219</v>
      </c>
      <c r="J80">
        <v>17418</v>
      </c>
      <c r="K80">
        <v>87.38</v>
      </c>
      <c r="L80">
        <v>12.62</v>
      </c>
    </row>
    <row r="81" spans="1:12" x14ac:dyDescent="0.35">
      <c r="A81" t="s">
        <v>91</v>
      </c>
      <c r="B81" t="s">
        <v>191</v>
      </c>
      <c r="C81" t="s">
        <v>212</v>
      </c>
      <c r="D81">
        <v>2713</v>
      </c>
      <c r="E81">
        <v>1962</v>
      </c>
      <c r="F81">
        <v>3404</v>
      </c>
      <c r="G81">
        <v>3381</v>
      </c>
      <c r="H81">
        <v>3449</v>
      </c>
      <c r="I81">
        <v>14909</v>
      </c>
      <c r="J81">
        <v>18009</v>
      </c>
      <c r="K81">
        <v>82.79</v>
      </c>
      <c r="L81">
        <v>17.21</v>
      </c>
    </row>
    <row r="82" spans="1:12" x14ac:dyDescent="0.35">
      <c r="A82" t="s">
        <v>92</v>
      </c>
      <c r="B82" t="s">
        <v>192</v>
      </c>
      <c r="C82" t="s">
        <v>215</v>
      </c>
      <c r="D82">
        <v>1875</v>
      </c>
      <c r="E82">
        <v>1769</v>
      </c>
      <c r="F82">
        <v>3993</v>
      </c>
      <c r="G82">
        <v>4990</v>
      </c>
      <c r="H82">
        <v>3775</v>
      </c>
      <c r="I82">
        <v>16402</v>
      </c>
      <c r="J82">
        <v>19686</v>
      </c>
      <c r="K82">
        <v>83.32</v>
      </c>
      <c r="L82">
        <v>16.68</v>
      </c>
    </row>
    <row r="83" spans="1:12" x14ac:dyDescent="0.35">
      <c r="A83" t="s">
        <v>93</v>
      </c>
      <c r="B83" t="s">
        <v>193</v>
      </c>
      <c r="C83" t="s">
        <v>215</v>
      </c>
      <c r="D83">
        <v>1506</v>
      </c>
      <c r="E83">
        <v>3672</v>
      </c>
      <c r="F83">
        <v>3282</v>
      </c>
      <c r="G83">
        <v>4313</v>
      </c>
      <c r="H83">
        <v>3681</v>
      </c>
      <c r="I83">
        <v>16454</v>
      </c>
      <c r="J83">
        <v>17112</v>
      </c>
      <c r="K83">
        <v>96.15</v>
      </c>
      <c r="L83">
        <v>3.85</v>
      </c>
    </row>
    <row r="84" spans="1:12" x14ac:dyDescent="0.35">
      <c r="A84" t="s">
        <v>94</v>
      </c>
      <c r="B84" t="s">
        <v>194</v>
      </c>
      <c r="C84" t="s">
        <v>212</v>
      </c>
      <c r="D84">
        <v>4543</v>
      </c>
      <c r="E84">
        <v>1237</v>
      </c>
      <c r="F84">
        <v>1911</v>
      </c>
      <c r="G84">
        <v>3429</v>
      </c>
      <c r="H84">
        <v>2860</v>
      </c>
      <c r="I84">
        <v>13980</v>
      </c>
      <c r="J84">
        <v>19412</v>
      </c>
      <c r="K84">
        <v>72.02</v>
      </c>
      <c r="L84">
        <v>27.98</v>
      </c>
    </row>
    <row r="85" spans="1:12" x14ac:dyDescent="0.35">
      <c r="A85" t="s">
        <v>95</v>
      </c>
      <c r="B85" t="s">
        <v>195</v>
      </c>
      <c r="C85" t="s">
        <v>214</v>
      </c>
      <c r="D85">
        <v>2373</v>
      </c>
      <c r="E85">
        <v>3321</v>
      </c>
      <c r="F85">
        <v>1076</v>
      </c>
      <c r="G85">
        <v>1048</v>
      </c>
      <c r="H85">
        <v>3826</v>
      </c>
      <c r="I85">
        <v>11644</v>
      </c>
      <c r="J85">
        <v>19384</v>
      </c>
      <c r="K85">
        <v>60.07</v>
      </c>
      <c r="L85">
        <v>39.93</v>
      </c>
    </row>
    <row r="86" spans="1:12" x14ac:dyDescent="0.35">
      <c r="A86" t="s">
        <v>96</v>
      </c>
      <c r="B86" t="s">
        <v>196</v>
      </c>
      <c r="C86" t="s">
        <v>212</v>
      </c>
      <c r="D86">
        <v>2534</v>
      </c>
      <c r="E86">
        <v>4682</v>
      </c>
      <c r="F86">
        <v>3685</v>
      </c>
      <c r="G86">
        <v>3828</v>
      </c>
      <c r="H86">
        <v>1902</v>
      </c>
      <c r="I86">
        <v>16631</v>
      </c>
      <c r="J86">
        <v>16221</v>
      </c>
      <c r="K86">
        <v>102.53</v>
      </c>
      <c r="L86">
        <v>-2.5299999999999998</v>
      </c>
    </row>
    <row r="87" spans="1:12" x14ac:dyDescent="0.35">
      <c r="A87" t="s">
        <v>97</v>
      </c>
      <c r="B87" t="s">
        <v>197</v>
      </c>
      <c r="C87" t="s">
        <v>213</v>
      </c>
      <c r="D87">
        <v>4368</v>
      </c>
      <c r="E87">
        <v>4284</v>
      </c>
      <c r="F87">
        <v>4873</v>
      </c>
      <c r="G87">
        <v>3465</v>
      </c>
      <c r="H87">
        <v>4898</v>
      </c>
      <c r="I87">
        <v>21888</v>
      </c>
      <c r="J87">
        <v>19372</v>
      </c>
      <c r="K87">
        <v>112.99</v>
      </c>
      <c r="L87">
        <v>-12.99</v>
      </c>
    </row>
    <row r="88" spans="1:12" x14ac:dyDescent="0.35">
      <c r="A88" t="s">
        <v>98</v>
      </c>
      <c r="B88" t="s">
        <v>198</v>
      </c>
      <c r="C88" t="s">
        <v>214</v>
      </c>
      <c r="D88">
        <v>4846</v>
      </c>
      <c r="E88">
        <v>4098</v>
      </c>
      <c r="F88">
        <v>2671</v>
      </c>
      <c r="G88">
        <v>1939</v>
      </c>
      <c r="H88">
        <v>4656</v>
      </c>
      <c r="I88">
        <v>18210</v>
      </c>
      <c r="J88">
        <v>15414</v>
      </c>
      <c r="K88">
        <v>118.14</v>
      </c>
      <c r="L88">
        <v>-18.14</v>
      </c>
    </row>
    <row r="89" spans="1:12" x14ac:dyDescent="0.35">
      <c r="A89" t="s">
        <v>99</v>
      </c>
      <c r="B89" t="s">
        <v>199</v>
      </c>
      <c r="C89" t="s">
        <v>212</v>
      </c>
      <c r="D89">
        <v>4106</v>
      </c>
      <c r="E89">
        <v>2439</v>
      </c>
      <c r="F89">
        <v>2946</v>
      </c>
      <c r="G89">
        <v>1989</v>
      </c>
      <c r="H89">
        <v>3099</v>
      </c>
      <c r="I89">
        <v>14579</v>
      </c>
      <c r="J89">
        <v>15069</v>
      </c>
      <c r="K89">
        <v>96.75</v>
      </c>
      <c r="L89">
        <v>3.25</v>
      </c>
    </row>
    <row r="90" spans="1:12" x14ac:dyDescent="0.35">
      <c r="A90" t="s">
        <v>100</v>
      </c>
      <c r="B90" t="s">
        <v>200</v>
      </c>
      <c r="C90" t="s">
        <v>212</v>
      </c>
      <c r="D90">
        <v>2313</v>
      </c>
      <c r="E90">
        <v>1046</v>
      </c>
      <c r="F90">
        <v>1881</v>
      </c>
      <c r="G90">
        <v>1316</v>
      </c>
      <c r="H90">
        <v>3107</v>
      </c>
      <c r="I90">
        <v>9663</v>
      </c>
      <c r="J90">
        <v>15407</v>
      </c>
      <c r="K90">
        <v>62.72</v>
      </c>
      <c r="L90">
        <v>37.28</v>
      </c>
    </row>
    <row r="91" spans="1:12" x14ac:dyDescent="0.35">
      <c r="A91" t="s">
        <v>101</v>
      </c>
      <c r="B91" t="s">
        <v>201</v>
      </c>
      <c r="C91" t="s">
        <v>214</v>
      </c>
      <c r="D91">
        <v>2586</v>
      </c>
      <c r="E91">
        <v>1608</v>
      </c>
      <c r="F91">
        <v>1259</v>
      </c>
      <c r="G91">
        <v>2766</v>
      </c>
      <c r="H91">
        <v>3925</v>
      </c>
      <c r="I91">
        <v>12144</v>
      </c>
      <c r="J91">
        <v>16882</v>
      </c>
      <c r="K91">
        <v>71.930000000000007</v>
      </c>
      <c r="L91">
        <v>28.07</v>
      </c>
    </row>
    <row r="92" spans="1:12" x14ac:dyDescent="0.35">
      <c r="A92" t="s">
        <v>102</v>
      </c>
      <c r="B92" t="s">
        <v>202</v>
      </c>
      <c r="C92" t="s">
        <v>214</v>
      </c>
      <c r="D92">
        <v>4258</v>
      </c>
      <c r="E92">
        <v>2554</v>
      </c>
      <c r="F92">
        <v>4800</v>
      </c>
      <c r="G92">
        <v>4795</v>
      </c>
      <c r="H92">
        <v>2590</v>
      </c>
      <c r="I92">
        <v>18997</v>
      </c>
      <c r="J92">
        <v>19562</v>
      </c>
      <c r="K92">
        <v>97.11</v>
      </c>
      <c r="L92">
        <v>2.89</v>
      </c>
    </row>
    <row r="93" spans="1:12" x14ac:dyDescent="0.35">
      <c r="A93" t="s">
        <v>103</v>
      </c>
      <c r="B93" t="s">
        <v>203</v>
      </c>
      <c r="C93" t="s">
        <v>213</v>
      </c>
      <c r="D93">
        <v>3220</v>
      </c>
      <c r="E93">
        <v>3919</v>
      </c>
      <c r="F93">
        <v>4546</v>
      </c>
      <c r="G93">
        <v>1507</v>
      </c>
      <c r="H93">
        <v>1290</v>
      </c>
      <c r="I93">
        <v>14482</v>
      </c>
      <c r="J93">
        <v>15132</v>
      </c>
      <c r="K93">
        <v>95.7</v>
      </c>
      <c r="L93">
        <v>4.3</v>
      </c>
    </row>
    <row r="94" spans="1:12" x14ac:dyDescent="0.35">
      <c r="A94" t="s">
        <v>104</v>
      </c>
      <c r="B94" t="s">
        <v>204</v>
      </c>
      <c r="C94" t="s">
        <v>215</v>
      </c>
      <c r="D94">
        <v>3970</v>
      </c>
      <c r="E94">
        <v>2301</v>
      </c>
      <c r="F94">
        <v>4630</v>
      </c>
      <c r="G94">
        <v>3776</v>
      </c>
      <c r="H94">
        <v>1368</v>
      </c>
      <c r="I94">
        <v>16045</v>
      </c>
      <c r="J94">
        <v>19987</v>
      </c>
      <c r="K94">
        <v>80.28</v>
      </c>
      <c r="L94">
        <v>19.72</v>
      </c>
    </row>
    <row r="95" spans="1:12" x14ac:dyDescent="0.35">
      <c r="A95" t="s">
        <v>105</v>
      </c>
      <c r="B95" t="s">
        <v>205</v>
      </c>
      <c r="C95" t="s">
        <v>214</v>
      </c>
      <c r="D95">
        <v>2334</v>
      </c>
      <c r="E95">
        <v>2750</v>
      </c>
      <c r="F95">
        <v>4168</v>
      </c>
      <c r="G95">
        <v>3178</v>
      </c>
      <c r="H95">
        <v>1473</v>
      </c>
      <c r="I95">
        <v>13903</v>
      </c>
      <c r="J95">
        <v>16848</v>
      </c>
      <c r="K95">
        <v>82.52</v>
      </c>
      <c r="L95">
        <v>17.48</v>
      </c>
    </row>
    <row r="96" spans="1:12" x14ac:dyDescent="0.35">
      <c r="A96" t="s">
        <v>106</v>
      </c>
      <c r="B96" t="s">
        <v>206</v>
      </c>
      <c r="C96" t="s">
        <v>214</v>
      </c>
      <c r="D96">
        <v>4839</v>
      </c>
      <c r="E96">
        <v>4843</v>
      </c>
      <c r="F96">
        <v>2560</v>
      </c>
      <c r="G96">
        <v>4029</v>
      </c>
      <c r="H96">
        <v>1198</v>
      </c>
      <c r="I96">
        <v>17469</v>
      </c>
      <c r="J96">
        <v>18151</v>
      </c>
      <c r="K96">
        <v>96.24</v>
      </c>
      <c r="L96">
        <v>3.76</v>
      </c>
    </row>
    <row r="97" spans="1:12" x14ac:dyDescent="0.35">
      <c r="A97" t="s">
        <v>107</v>
      </c>
      <c r="B97" t="s">
        <v>207</v>
      </c>
      <c r="C97" t="s">
        <v>212</v>
      </c>
      <c r="D97">
        <v>4330</v>
      </c>
      <c r="E97">
        <v>1510</v>
      </c>
      <c r="F97">
        <v>2581</v>
      </c>
      <c r="G97">
        <v>3339</v>
      </c>
      <c r="H97">
        <v>3814</v>
      </c>
      <c r="I97">
        <v>15574</v>
      </c>
      <c r="J97">
        <v>17742</v>
      </c>
      <c r="K97">
        <v>87.78</v>
      </c>
      <c r="L97">
        <v>12.22</v>
      </c>
    </row>
    <row r="98" spans="1:12" x14ac:dyDescent="0.35">
      <c r="A98" t="s">
        <v>108</v>
      </c>
      <c r="B98" t="s">
        <v>208</v>
      </c>
      <c r="C98" t="s">
        <v>214</v>
      </c>
      <c r="D98">
        <v>1644</v>
      </c>
      <c r="E98">
        <v>1736</v>
      </c>
      <c r="F98">
        <v>4444</v>
      </c>
      <c r="G98">
        <v>3725</v>
      </c>
      <c r="H98">
        <v>2793</v>
      </c>
      <c r="I98">
        <v>14342</v>
      </c>
      <c r="J98">
        <v>15075</v>
      </c>
      <c r="K98">
        <v>95.14</v>
      </c>
      <c r="L98">
        <v>4.8600000000000003</v>
      </c>
    </row>
    <row r="99" spans="1:12" x14ac:dyDescent="0.35">
      <c r="A99" t="s">
        <v>109</v>
      </c>
      <c r="B99" t="s">
        <v>209</v>
      </c>
      <c r="C99" t="s">
        <v>212</v>
      </c>
      <c r="D99">
        <v>2303</v>
      </c>
      <c r="E99">
        <v>4487</v>
      </c>
      <c r="F99">
        <v>3124</v>
      </c>
      <c r="G99">
        <v>2449</v>
      </c>
      <c r="H99">
        <v>3027</v>
      </c>
      <c r="I99">
        <v>15390</v>
      </c>
      <c r="J99">
        <v>18975</v>
      </c>
      <c r="K99">
        <v>81.11</v>
      </c>
      <c r="L99">
        <v>18.89</v>
      </c>
    </row>
    <row r="100" spans="1:12" x14ac:dyDescent="0.35">
      <c r="A100" t="s">
        <v>110</v>
      </c>
      <c r="B100" t="s">
        <v>210</v>
      </c>
      <c r="C100" t="s">
        <v>213</v>
      </c>
      <c r="D100">
        <v>2150</v>
      </c>
      <c r="E100">
        <v>1422</v>
      </c>
      <c r="F100">
        <v>2481</v>
      </c>
      <c r="G100">
        <v>4224</v>
      </c>
      <c r="H100">
        <v>3477</v>
      </c>
      <c r="I100">
        <v>13754</v>
      </c>
      <c r="J100">
        <v>15787</v>
      </c>
      <c r="K100">
        <v>87.12</v>
      </c>
      <c r="L100">
        <v>12.88</v>
      </c>
    </row>
    <row r="101" spans="1:12" x14ac:dyDescent="0.35">
      <c r="A101" t="s">
        <v>111</v>
      </c>
      <c r="B101" t="s">
        <v>211</v>
      </c>
      <c r="C101" t="s">
        <v>214</v>
      </c>
      <c r="D101">
        <v>3288</v>
      </c>
      <c r="E101">
        <v>2017</v>
      </c>
      <c r="F101">
        <v>1523</v>
      </c>
      <c r="G101">
        <v>2335</v>
      </c>
      <c r="H101">
        <v>2530</v>
      </c>
      <c r="I101">
        <v>11693</v>
      </c>
      <c r="J101">
        <v>15930</v>
      </c>
      <c r="K101">
        <v>73.400000000000006</v>
      </c>
      <c r="L101">
        <v>26.6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deveshyadav26may@gmail.com</cp:lastModifiedBy>
  <dcterms:created xsi:type="dcterms:W3CDTF">2025-09-11T09:46:26Z</dcterms:created>
  <dcterms:modified xsi:type="dcterms:W3CDTF">2025-09-23T21:29:22Z</dcterms:modified>
</cp:coreProperties>
</file>